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defaultThemeVersion="124226"/>
  <mc:AlternateContent xmlns:mc="http://schemas.openxmlformats.org/markup-compatibility/2006">
    <mc:Choice Requires="x15">
      <x15ac:absPath xmlns:x15ac="http://schemas.microsoft.com/office/spreadsheetml/2010/11/ac" url="https://micym-my.sharepoint.com/personal/administracion_micym_com/Documents/1. MINERIA/8. PLANTA SARAMARCA II/Sistema Gestion Seguridad/14. Linea Base IPERC/2026 IPERC LB/"/>
    </mc:Choice>
  </mc:AlternateContent>
  <xr:revisionPtr revIDLastSave="1" documentId="13_ncr:1_{8B550894-35C4-4992-9D56-98DE536C1FBF}" xr6:coauthVersionLast="47" xr6:coauthVersionMax="47" xr10:uidLastSave="{3B2A0D24-9DBB-467C-8A28-08C43D5E2018}"/>
  <bookViews>
    <workbookView xWindow="-110" yWindow="-110" windowWidth="19420" windowHeight="11500" activeTab="2" xr2:uid="{00000000-000D-0000-FFFF-FFFF00000000}"/>
  </bookViews>
  <sheets>
    <sheet name="JU-SSO-STG-006.F02" sheetId="13" r:id="rId1"/>
    <sheet name="LIST P&amp;R" sheetId="19" r:id="rId2"/>
    <sheet name="Matriz de evaluación" sheetId="21" r:id="rId3"/>
    <sheet name="1" sheetId="15" state="hidden" r:id="rId4"/>
    <sheet name="PEL_RIESGOS" sheetId="17" state="hidden" r:id="rId5"/>
    <sheet name="PELIGROS" sheetId="18" state="hidden" r:id="rId6"/>
  </sheets>
  <externalReferences>
    <externalReference r:id="rId7"/>
  </externalReferences>
  <definedNames>
    <definedName name="_1">#REF!</definedName>
    <definedName name="_2">#REF!</definedName>
    <definedName name="_3">#REF!</definedName>
    <definedName name="_4">#REF!</definedName>
    <definedName name="_5">#REF!</definedName>
    <definedName name="_A">#REF!</definedName>
    <definedName name="_B">#REF!</definedName>
    <definedName name="_C">#REF!</definedName>
    <definedName name="_D">#REF!</definedName>
    <definedName name="_E">#REF!</definedName>
    <definedName name="_xlnm._FilterDatabase" localSheetId="3" hidden="1">'1'!$G$2:$G$81</definedName>
    <definedName name="_xlnm._FilterDatabase" localSheetId="0" hidden="1">'JU-SSO-STG-006.F02'!$A$19:$V$51</definedName>
    <definedName name="_xlnm._FilterDatabase" localSheetId="1" hidden="1">'LIST P&amp;R'!$A$2:$G$71</definedName>
    <definedName name="aaaaa">[1]!Lista_Peligros[PELIGROS]</definedName>
    <definedName name="Aberturas_en_pisos__plataformas__pasillos__open_hole__">PEL_RIESGOS!$C$38</definedName>
    <definedName name="Acoso_y_hostigamiento_sexual">PEL_RIESGOS!$C$55</definedName>
    <definedName name="Agentes_Biológicos__virus__mohos__hongos__bacterias_parásitos_gastrointestinales_etc__">PEL_RIESGOS!$C$27</definedName>
    <definedName name="Animales__Insectos">PEL_RIESGOS!$C$28</definedName>
    <definedName name="_xlnm.Print_Area" localSheetId="3">'1'!$A$1:$G$84</definedName>
    <definedName name="_xlnm.Print_Area" localSheetId="0">'JU-SSO-STG-006.F02'!$A$2:$W$139</definedName>
    <definedName name="Calor_Temperaturas_extremas_">PEL_RIESGOS!$C$10</definedName>
    <definedName name="Carga_Suspendidas">PEL_RIESGOS!$C$41</definedName>
    <definedName name="CÓDIGO">'1'!$C$2</definedName>
    <definedName name="consecuencia">#REF!</definedName>
    <definedName name="Corrientes_de_aire">PEL_RIESGOS!$C$72</definedName>
    <definedName name="DatosExternos_2" localSheetId="4" hidden="1">PEL_RIESGOS!$A$1:$C$80</definedName>
    <definedName name="DatosExternos_3" localSheetId="5" hidden="1">PELIGROS!$A$1:$A$73</definedName>
    <definedName name="Empuje_o_tracción_manual_de_cargas">PEL_RIESGOS!$C$31</definedName>
    <definedName name="Energía_Eléctrica">PEL_RIESGOS!$C$12</definedName>
    <definedName name="Espacio_Confinado_Atmósfera_Peligrosa_">PEL_RIESGOS!$C$36</definedName>
    <definedName name="Espacio_Inadecuado_de_Trabajo">PEL_RIESGOS!$C$33</definedName>
    <definedName name="Estructuras_e_Instalaciones_Inestables_Instalaciones__muros__andamios__escaleras__plataformas__etc___">PEL_RIESGOS!$C$49</definedName>
    <definedName name="Excavaciones">PEL_RIESGOS!$C$45:$C$47</definedName>
    <definedName name="Fluidos_a_Presión__Equipo_Presurizado_Hidráulica__Neumática_">PEL_RIESGOS!$C$42:$C$43</definedName>
    <definedName name="Frío_Temperaturas_extremas_">PEL_RIESGOS!$C$9</definedName>
    <definedName name="Gases_comprimidos__oxigeno__acetileno__gas_propano__nitrógeno_y_otros_">PEL_RIESGOS!$C$26</definedName>
    <definedName name="Gases_de_combustión_de_máquinas">PEL_RIESGOS!$C$25</definedName>
    <definedName name="Gases_tóxicos__cianuro__H2S_">PEL_RIESGOS!$C$17</definedName>
    <definedName name="Horas_de_trabajo_prolongadas__excesivas">PEL_RIESGOS!$C$52</definedName>
    <definedName name="Humedad">PEL_RIESGOS!$C$13</definedName>
    <definedName name="Humos_de_soldadura">PEL_RIESGOS!$C$15</definedName>
    <definedName name="Iluminación__deficiente_o_excesiva_">PEL_RIESGOS!$C$7</definedName>
    <definedName name="Izaje_de_cargas">PEL_RIESGOS!$C$63</definedName>
    <definedName name="L_P">Peligros_Riesgos[[PELIGROS]:[PELIGROS - Copia]]</definedName>
    <definedName name="Levantamiento_o_traslado_manual_de_cargas">PEL_RIESGOS!$C$30</definedName>
    <definedName name="Líquidos_o_materiales_inflamables">PEL_RIESGOS!$C$24</definedName>
    <definedName name="List_Peligros">Lista_Peligros[PELIGROS]</definedName>
    <definedName name="Manifestaciones">PEL_RIESGOS!$C$51</definedName>
    <definedName name="Manipulación_de_accesorios_para_voladura">PEL_RIESGOS!$C$60</definedName>
    <definedName name="Manipulación_de_Herramientas_objetos">PEL_RIESGOS!$C$66</definedName>
    <definedName name="Manipulación_de_sustancias_químicas_">PEL_RIESGOS!$C$56:$C$59</definedName>
    <definedName name="Maquinaria_o_Piezas_en_movimiento">PEL_RIESGOS!$C$35</definedName>
    <definedName name="Material_Explosivo">PEL_RIESGOS!$C$22</definedName>
    <definedName name="Material_Inflamable__Material_combustible__Gases_combustibles__Líquidos_inflamables__Líquidos_combustibles">PEL_RIESGOS!$C$62</definedName>
    <definedName name="Movimientos_Repetitivos">PEL_RIESGOS!$C$29</definedName>
    <definedName name="Neblina_ácida__ácido_sulfúrico____gases_tóxicos__ácido_clorhídrico__ácido_fluorhídrico__ácido_nítrico_">PEL_RIESGOS!$C$16</definedName>
    <definedName name="Objetos_Almacenados_en_Altura">PEL_RIESGOS!$C$40</definedName>
    <definedName name="Operación_de_Vehículos_o_equipos_en_Movimiento__equipo_de_producción__auxiliar__servicio__liviano__buses_etc_">PEL_RIESGOS!$C$67</definedName>
    <definedName name="Otros_">PEL_RIESGOS!$C$73:$C$80</definedName>
    <definedName name="Personas_con_conductas_agresivas">PEL_RIESGOS!$C$54</definedName>
    <definedName name="Plomo_">PEL_RIESGOS!$C$19</definedName>
    <definedName name="Polvo__material_particulado_">PEL_RIESGOS!$C$14</definedName>
    <definedName name="Posturas_inadecuadas">PEL_RIESGOS!$C$32</definedName>
    <definedName name="Presión_Atmosférica">PEL_RIESGOS!$C$11</definedName>
    <definedName name="Productos_químicos_con_componentes_cancerígenos_">PEL_RIESGOS!$C$20</definedName>
    <definedName name="Proyección_de_partículas">PEL_RIESGOS!$C$44</definedName>
    <definedName name="Radiación_ionizante">PEL_RIESGOS!$C$5</definedName>
    <definedName name="Radiaciones_No_Ionizantes__Radiación_solar__infrarroja__ultravioleta__etc__">PEL_RIESGOS!$C$8</definedName>
    <definedName name="Radiaciones_no_ionizantes__Soldadura__Corte__etc__">PEL_RIESGOS!$C$6</definedName>
    <definedName name="Ruido">PEL_RIESGOS!$C$2</definedName>
    <definedName name="Sismos">PEL_RIESGOS!$C$71</definedName>
    <definedName name="Sobrecarga_de_Trabajo">PEL_RIESGOS!$C$53</definedName>
    <definedName name="Superficie_Resbaladiza__Irregular__Obstáculos_en_el_piso">PEL_RIESGOS!$C$37</definedName>
    <definedName name="Superficies_Punzo_Cortantes">PEL_RIESGOS!$C$39</definedName>
    <definedName name="Sustancias_asfixiantes_">PEL_RIESGOS!$C$21</definedName>
    <definedName name="Sustancias_corrosivas__cal__NaHS_">PEL_RIESGOS!$C$23</definedName>
    <definedName name="Terreno_o_Superficies_Inestables_Taludes__Superficies__etc__">PEL_RIESGOS!$C$48</definedName>
    <definedName name="Tiro_cortado__Explosivos_sin_detonar_después_de_una_voladura_">PEL_RIESGOS!$C$61</definedName>
    <definedName name="_xlnm.Print_Titles" localSheetId="0">'JU-SSO-STG-006.F02'!$1:$19</definedName>
    <definedName name="Tormenta_Eléctrica">PEL_RIESGOS!$C$70</definedName>
    <definedName name="Trabajo_en_Caliente__soldadura__esmerilado__etc__">PEL_RIESGOS!$C$64</definedName>
    <definedName name="Trabajos_en_altura__encima_de_1_50_metros_">PEL_RIESGOS!$C$68</definedName>
    <definedName name="Trabajos_sobre_cuerpos___cursos_de_agua_">PEL_RIESGOS!$C$65</definedName>
    <definedName name="Vapores_orgánicos_volátiles__pintura__solventes_">PEL_RIESGOS!$C$18</definedName>
    <definedName name="Vehículos_o_equipos_en_Movimiento__equipo_de_producción__auxiliar__servicio__liviano__buses_etc_">PEL_RIESGOS!$C$34</definedName>
    <definedName name="Vías___Accesos_no_señalizados">PEL_RIESGOS!$C$50</definedName>
    <definedName name="Vibración_de_cuerpo_completo">PEL_RIESGOS!$C$3</definedName>
    <definedName name="Vibración_mano___brazo">PEL_RIESGOS!$C$4</definedName>
    <definedName name="Vientos_fuertes">PEL_RIESGOS!$C$69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0" i="13" l="1"/>
  <c r="S21" i="13"/>
  <c r="S22" i="13"/>
  <c r="S23" i="13"/>
  <c r="S24" i="13"/>
  <c r="S25" i="13"/>
  <c r="S114" i="13"/>
  <c r="K114" i="13"/>
  <c r="K112" i="13"/>
  <c r="S110" i="13"/>
  <c r="K110" i="13"/>
  <c r="S111" i="13" l="1"/>
  <c r="J111" i="13"/>
  <c r="K111" i="13" s="1"/>
  <c r="S109" i="13"/>
  <c r="K109" i="13"/>
  <c r="K106" i="13"/>
  <c r="S108" i="13"/>
  <c r="J108" i="13"/>
  <c r="K108" i="13" s="1"/>
  <c r="S105" i="13"/>
  <c r="S103" i="13"/>
  <c r="S99" i="13"/>
  <c r="S98" i="13"/>
  <c r="S97" i="13"/>
  <c r="S102" i="13"/>
  <c r="J102" i="13"/>
  <c r="K102" i="13" s="1"/>
  <c r="K103" i="13"/>
  <c r="K105" i="13"/>
  <c r="K99" i="13"/>
  <c r="K97" i="13"/>
  <c r="K98" i="13"/>
  <c r="S96" i="13"/>
  <c r="K96" i="13"/>
  <c r="S95" i="13"/>
  <c r="J95" i="13"/>
  <c r="K95" i="13" s="1"/>
  <c r="S94" i="13"/>
  <c r="S74" i="13"/>
  <c r="S73" i="13"/>
  <c r="S64" i="13"/>
  <c r="K65" i="13"/>
  <c r="S48" i="13"/>
  <c r="S47" i="13"/>
  <c r="K47" i="13"/>
  <c r="K48" i="13"/>
  <c r="S67" i="13"/>
  <c r="J67" i="13"/>
  <c r="K67" i="13" s="1"/>
  <c r="J90" i="13" l="1"/>
  <c r="K90" i="13" s="1"/>
  <c r="S90" i="13"/>
  <c r="K74" i="13"/>
  <c r="K73" i="13"/>
  <c r="J75" i="13"/>
  <c r="K75" i="13" s="1"/>
  <c r="S75" i="13"/>
  <c r="J53" i="13"/>
  <c r="J94" i="13"/>
  <c r="K94" i="13" s="1"/>
  <c r="S72" i="13"/>
  <c r="J72" i="13"/>
  <c r="K72" i="13" s="1"/>
  <c r="S71" i="13"/>
  <c r="J71" i="13"/>
  <c r="K71" i="13" s="1"/>
  <c r="S69" i="13"/>
  <c r="J69" i="13"/>
  <c r="K69" i="13" s="1"/>
  <c r="S65" i="13"/>
  <c r="K64" i="13"/>
  <c r="S62" i="13"/>
  <c r="J62" i="13"/>
  <c r="K62" i="13" s="1"/>
  <c r="S61" i="13"/>
  <c r="J61" i="13"/>
  <c r="K61" i="13" s="1"/>
  <c r="S57" i="13" l="1"/>
  <c r="J57" i="13"/>
  <c r="K57" i="13" s="1"/>
  <c r="S59" i="13"/>
  <c r="J59" i="13"/>
  <c r="K59" i="13" s="1"/>
  <c r="K22" i="13"/>
  <c r="J24" i="13"/>
  <c r="K24" i="13" s="1"/>
  <c r="K23" i="13"/>
  <c r="K25" i="13"/>
  <c r="K21" i="13"/>
  <c r="K20" i="13"/>
  <c r="S124" i="13" l="1"/>
  <c r="J124" i="13"/>
  <c r="K124" i="13" s="1"/>
  <c r="S123" i="13"/>
  <c r="J123" i="13"/>
  <c r="K123" i="13" s="1"/>
  <c r="S122" i="13"/>
  <c r="J122" i="13"/>
  <c r="K122" i="13" s="1"/>
  <c r="S121" i="13"/>
  <c r="J121" i="13"/>
  <c r="K121" i="13" s="1"/>
  <c r="S120" i="13"/>
  <c r="J120" i="13"/>
  <c r="K120" i="13" s="1"/>
  <c r="S119" i="13"/>
  <c r="J119" i="13"/>
  <c r="K119" i="13" s="1"/>
  <c r="S118" i="13"/>
  <c r="J118" i="13"/>
  <c r="K118" i="13" s="1"/>
  <c r="J117" i="13"/>
  <c r="K117" i="13" s="1"/>
  <c r="S116" i="13"/>
  <c r="S117" i="13"/>
  <c r="J116" i="13"/>
  <c r="K116" i="13" s="1"/>
  <c r="S115" i="13"/>
  <c r="J115" i="13"/>
  <c r="K115" i="13" s="1"/>
  <c r="S107" i="13"/>
  <c r="J107" i="13"/>
  <c r="K107" i="13" s="1"/>
  <c r="S104" i="13"/>
  <c r="J104" i="13"/>
  <c r="K104" i="13" s="1"/>
  <c r="S101" i="13"/>
  <c r="J101" i="13"/>
  <c r="K101" i="13" s="1"/>
  <c r="S100" i="13"/>
  <c r="J100" i="13"/>
  <c r="K100" i="13" s="1"/>
  <c r="S93" i="13"/>
  <c r="J93" i="13"/>
  <c r="K93" i="13" s="1"/>
  <c r="S92" i="13"/>
  <c r="J92" i="13"/>
  <c r="K92" i="13" s="1"/>
  <c r="S91" i="13"/>
  <c r="J91" i="13"/>
  <c r="K91" i="13" s="1"/>
  <c r="S89" i="13"/>
  <c r="J89" i="13"/>
  <c r="K89" i="13" s="1"/>
  <c r="S88" i="13"/>
  <c r="J88" i="13"/>
  <c r="K88" i="13" s="1"/>
  <c r="S87" i="13"/>
  <c r="J87" i="13"/>
  <c r="K87" i="13" s="1"/>
  <c r="S86" i="13"/>
  <c r="J86" i="13"/>
  <c r="K86" i="13" s="1"/>
  <c r="S85" i="13"/>
  <c r="J85" i="13"/>
  <c r="K85" i="13" s="1"/>
  <c r="S84" i="13"/>
  <c r="S113" i="13"/>
  <c r="J113" i="13"/>
  <c r="K113" i="13" s="1"/>
  <c r="J84" i="13"/>
  <c r="K84" i="13" s="1"/>
  <c r="S83" i="13"/>
  <c r="J83" i="13"/>
  <c r="K83" i="13" s="1"/>
  <c r="S82" i="13"/>
  <c r="J82" i="13"/>
  <c r="K82" i="13" s="1"/>
  <c r="S81" i="13"/>
  <c r="J81" i="13"/>
  <c r="K81" i="13" s="1"/>
  <c r="S80" i="13"/>
  <c r="J80" i="13"/>
  <c r="K80" i="13" s="1"/>
  <c r="S79" i="13"/>
  <c r="J79" i="13"/>
  <c r="K79" i="13" s="1"/>
  <c r="S78" i="13"/>
  <c r="J78" i="13"/>
  <c r="K78" i="13" s="1"/>
  <c r="S77" i="13"/>
  <c r="J77" i="13"/>
  <c r="K77" i="13" s="1"/>
  <c r="S76" i="13"/>
  <c r="J76" i="13"/>
  <c r="K76" i="13" s="1"/>
  <c r="S70" i="13"/>
  <c r="J70" i="13"/>
  <c r="K70" i="13" s="1"/>
  <c r="S68" i="13"/>
  <c r="J68" i="13"/>
  <c r="K68" i="13" s="1"/>
  <c r="S66" i="13"/>
  <c r="J66" i="13"/>
  <c r="K66" i="13" s="1"/>
  <c r="S63" i="13"/>
  <c r="K63" i="13"/>
  <c r="S60" i="13"/>
  <c r="J60" i="13"/>
  <c r="K60" i="13" s="1"/>
  <c r="S58" i="13"/>
  <c r="J58" i="13"/>
  <c r="K58" i="13" s="1"/>
  <c r="S56" i="13"/>
  <c r="J56" i="13"/>
  <c r="K56" i="13" s="1"/>
  <c r="S55" i="13"/>
  <c r="J55" i="13"/>
  <c r="K55" i="13" s="1"/>
  <c r="S54" i="13"/>
  <c r="J54" i="13"/>
  <c r="K54" i="13" s="1"/>
  <c r="S53" i="13"/>
  <c r="K53" i="13"/>
  <c r="S52" i="13"/>
  <c r="J52" i="13"/>
  <c r="K52" i="13" s="1"/>
  <c r="S50" i="13"/>
  <c r="S49" i="13"/>
  <c r="J49" i="13"/>
  <c r="K49" i="13" s="1"/>
  <c r="S46" i="13"/>
  <c r="K46" i="13"/>
  <c r="S45" i="13"/>
  <c r="J45" i="13"/>
  <c r="K45" i="13" s="1"/>
  <c r="S43" i="13"/>
  <c r="J43" i="13"/>
  <c r="K43" i="13" s="1"/>
  <c r="S42" i="13"/>
  <c r="J42" i="13"/>
  <c r="K42" i="13" s="1"/>
  <c r="S41" i="13"/>
  <c r="J41" i="13"/>
  <c r="K41" i="13" s="1"/>
  <c r="S40" i="13"/>
  <c r="J40" i="13"/>
  <c r="K40" i="13" s="1"/>
  <c r="S39" i="13"/>
  <c r="J39" i="13"/>
  <c r="K39" i="13" s="1"/>
  <c r="S37" i="13"/>
  <c r="J37" i="13"/>
  <c r="K37" i="13" s="1"/>
  <c r="S36" i="13"/>
  <c r="J36" i="13"/>
  <c r="K36" i="13" s="1"/>
  <c r="S35" i="13"/>
  <c r="J35" i="13"/>
  <c r="K35" i="13" s="1"/>
  <c r="S34" i="13"/>
  <c r="J34" i="13"/>
  <c r="K34" i="13" s="1"/>
  <c r="S33" i="13"/>
  <c r="J33" i="13"/>
  <c r="K33" i="13" s="1"/>
  <c r="S32" i="13"/>
  <c r="S38" i="13"/>
  <c r="S44" i="13"/>
  <c r="S51" i="13"/>
  <c r="J32" i="13"/>
  <c r="K32" i="13" s="1"/>
  <c r="J38" i="13"/>
  <c r="K38" i="13" s="1"/>
  <c r="J44" i="13"/>
  <c r="K44" i="13" s="1"/>
  <c r="J50" i="13"/>
  <c r="K50" i="13" s="1"/>
  <c r="K51" i="13"/>
  <c r="S31" i="13"/>
  <c r="J31" i="13"/>
  <c r="K31" i="13" s="1"/>
  <c r="S30" i="13"/>
  <c r="J30" i="13"/>
  <c r="K30" i="13" s="1"/>
  <c r="S29" i="13"/>
  <c r="J29" i="13"/>
  <c r="K29" i="13" s="1"/>
  <c r="S28" i="13"/>
  <c r="S27" i="13"/>
  <c r="J27" i="13"/>
  <c r="K27" i="13" s="1"/>
  <c r="J28" i="13"/>
  <c r="K28" i="13" s="1"/>
  <c r="S26" i="13"/>
  <c r="J26" i="13"/>
  <c r="K26" i="13" s="1"/>
  <c r="D78" i="15"/>
  <c r="D52" i="15"/>
  <c r="D51" i="15"/>
  <c r="D10" i="15"/>
  <c r="D76" i="15"/>
  <c r="D74" i="15"/>
  <c r="D73" i="15"/>
  <c r="D72" i="15"/>
  <c r="D71" i="15"/>
  <c r="D70" i="15"/>
  <c r="D69" i="15"/>
  <c r="D68" i="15"/>
  <c r="D67" i="15"/>
  <c r="D66" i="15"/>
  <c r="D65" i="15"/>
  <c r="D64" i="15"/>
  <c r="D63" i="15"/>
  <c r="D62" i="15"/>
  <c r="D58" i="15"/>
  <c r="D59" i="15"/>
  <c r="D60" i="15"/>
  <c r="D61" i="15"/>
  <c r="D57" i="15"/>
  <c r="D56" i="15"/>
  <c r="D55" i="15"/>
  <c r="D54" i="15"/>
  <c r="D53" i="15"/>
  <c r="D50" i="15"/>
  <c r="D49" i="15"/>
  <c r="D46" i="15"/>
  <c r="D47" i="15" s="1"/>
  <c r="D48" i="15" s="1"/>
  <c r="D45" i="15"/>
  <c r="D43" i="15"/>
  <c r="D44" i="15" s="1"/>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9" i="15"/>
  <c r="D8" i="15"/>
  <c r="D7" i="15"/>
  <c r="D6" i="15"/>
  <c r="D5" i="15"/>
  <c r="D4" i="15"/>
  <c r="D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Gianfranco</author>
  </authors>
  <commentList>
    <comment ref="H19" authorId="0" shapeId="0" xr:uid="{00000000-0006-0000-0000-000001000000}">
      <text>
        <r>
          <rPr>
            <b/>
            <sz val="9"/>
            <color indexed="81"/>
            <rFont val="Tahoma"/>
            <family val="2"/>
          </rPr>
          <t>Si Peligro = Otros, Agregar los Riesgos en la Hoja "Lista P&amp;R"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Lista_Peligros" description="Conexión a la consulta 'Lista_Peligros' en el libro." type="5" refreshedVersion="7" background="1" saveData="1">
    <dbPr connection="Provider=Microsoft.Mashup.OleDb.1;Data Source=$Workbook$;Location=Lista_Peligros;Extended Properties=&quot;&quot;" command="SELECT * FROM [Lista_Peligros]"/>
  </connection>
  <connection id="2" xr16:uid="{00000000-0015-0000-FFFF-FFFF01000000}" keepAlive="1" name="Consulta - Peligros_Riesgos" description="Conexión a la consulta 'Peligros_Riesgos' en el libro." type="5" refreshedVersion="7" background="1" saveData="1">
    <dbPr connection="Provider=Microsoft.Mashup.OleDb.1;Data Source=$Workbook$;Location=Peligros_Riesgos;Extended Properties=&quot;&quot;" command="SELECT * FROM [Peligros_Riesgos]"/>
  </connection>
</connections>
</file>

<file path=xl/sharedStrings.xml><?xml version="1.0" encoding="utf-8"?>
<sst xmlns="http://schemas.openxmlformats.org/spreadsheetml/2006/main" count="1988" uniqueCount="774">
  <si>
    <t>REGISTRO</t>
  </si>
  <si>
    <t>MATRIZ DE IDENTIFICACIÓN DE PELIGROS, EVALUACIÓN DE RIESGOS Y MEDIDAS DE CONTROL- LÍNEA BASE</t>
  </si>
  <si>
    <t>Páginas: 1 de 1</t>
  </si>
  <si>
    <t>Jerarquía de Controles - Orden de Prioridad</t>
  </si>
  <si>
    <t>Sustitución</t>
  </si>
  <si>
    <t>FEC. ELABORACIÓN:</t>
  </si>
  <si>
    <t>CARGO</t>
  </si>
  <si>
    <t>MIEMBRO DEL COMITÉ</t>
  </si>
  <si>
    <t>FIRMA</t>
  </si>
  <si>
    <t>FEC. ACTUALIZACIÓN:</t>
  </si>
  <si>
    <t>REPRESENTANTE DEL EMPLEADOR</t>
  </si>
  <si>
    <t>Control Administrativo</t>
  </si>
  <si>
    <t>FABRIZIO ZARATE GARCÍA</t>
  </si>
  <si>
    <t>Evaluación de riesgos</t>
  </si>
  <si>
    <t>Jerarquía de Control</t>
  </si>
  <si>
    <t>Reevaluación</t>
  </si>
  <si>
    <t>Proceso</t>
  </si>
  <si>
    <t>Actividad</t>
  </si>
  <si>
    <t>Tarea</t>
  </si>
  <si>
    <t>Puesto</t>
  </si>
  <si>
    <t xml:space="preserve">Peligro </t>
  </si>
  <si>
    <t>Riesgo</t>
  </si>
  <si>
    <t>Nivel de 
Probabilidad (P)</t>
  </si>
  <si>
    <t>Nivel de 
Severidad
(S)</t>
  </si>
  <si>
    <t>Clasificación del Riesgo (PxS)</t>
  </si>
  <si>
    <t>Eliminación</t>
  </si>
  <si>
    <t>Ingeniería o Aislamiento</t>
  </si>
  <si>
    <t>Equipo de 
Protección Personal
(EPP)</t>
  </si>
  <si>
    <t>P</t>
  </si>
  <si>
    <t>S</t>
  </si>
  <si>
    <t>PxS</t>
  </si>
  <si>
    <t>Acción de Mejora</t>
  </si>
  <si>
    <t>Exposición a agentes biológicos</t>
  </si>
  <si>
    <t>B</t>
  </si>
  <si>
    <t>C</t>
  </si>
  <si>
    <t>Posturas inadecuadas</t>
  </si>
  <si>
    <t>Sobresfuerzo por posturas inadecuadas</t>
  </si>
  <si>
    <t>D</t>
  </si>
  <si>
    <t>1.- Realizar pausas activas
2.- Capacitación en plan de salud e higiene 
3.- Capacitación en ergonomía</t>
  </si>
  <si>
    <t>E</t>
  </si>
  <si>
    <t>Vías / Accesos no señalizados</t>
  </si>
  <si>
    <t>Colisiones, Volcaduras, Despistes</t>
  </si>
  <si>
    <t>Vibración de cuerpo completo</t>
  </si>
  <si>
    <t>Exposición a vibración de cuerpo completo</t>
  </si>
  <si>
    <t>Radiación ionizante</t>
  </si>
  <si>
    <t>Exposición a radiaciones no ionizantes</t>
  </si>
  <si>
    <t>Vientos fuertes</t>
  </si>
  <si>
    <t>Exposición a vientos fuertes</t>
  </si>
  <si>
    <t>Calor
(Temperaturas extremas)</t>
  </si>
  <si>
    <t>Exposición a altas temperaturas</t>
  </si>
  <si>
    <t>Operación de Vehículos o equipos en Movimiento (equipo de producción, auxiliar, servicio, liviano, buses,etc)</t>
  </si>
  <si>
    <t>Volcadura, colisiones, despistes, deslizamientos, hundimientos.</t>
  </si>
  <si>
    <t>Corrientes de aire</t>
  </si>
  <si>
    <t>Exposición a polvo (material particulado)</t>
  </si>
  <si>
    <t>Movimientos Repetitivos</t>
  </si>
  <si>
    <t>Realizar movimientos repetitivos</t>
  </si>
  <si>
    <t>Superficie Resbaladiza, Irregular, Obstáculos en el piso</t>
  </si>
  <si>
    <t>Caída al mismo nivel</t>
  </si>
  <si>
    <t>Ruido</t>
  </si>
  <si>
    <t>Exposición a ruido</t>
  </si>
  <si>
    <t>Agentes Biológicos (virus, mohos, hongos, bacterias,
parásitos gastrointestinales,etc.)</t>
  </si>
  <si>
    <t xml:space="preserve">Manipulación de sustancias químicas </t>
  </si>
  <si>
    <t>Contacto de la piel con sustancias o agentes dañinos</t>
  </si>
  <si>
    <t>Levantamiento o traslado manual de cargas</t>
  </si>
  <si>
    <t>Sobresfuerzo por levantamiento o traslado manual de cargas</t>
  </si>
  <si>
    <t>Empuje o tracción manual de cargas</t>
  </si>
  <si>
    <t>Sobresfuerzo por empuje o tracción manual de cargas</t>
  </si>
  <si>
    <t>Polvo (material particulado)</t>
  </si>
  <si>
    <t>Trabajos en altura 
(encima de 1.50 metros)</t>
  </si>
  <si>
    <t>Caída a distinto nivel</t>
  </si>
  <si>
    <t>Material Inflamable, Material combustible, Gases combustibles, Líquidos inflamables, Líquidos combustibles</t>
  </si>
  <si>
    <t>Incendio, Explosión</t>
  </si>
  <si>
    <t>12 
MEDIO</t>
  </si>
  <si>
    <t>16 
BAJO</t>
  </si>
  <si>
    <t>Superficies Punzo Cortantes</t>
  </si>
  <si>
    <t>Cortado por superficies punzo cortantes</t>
  </si>
  <si>
    <t>Exposición a corrientes de aire</t>
  </si>
  <si>
    <t>Sismos</t>
  </si>
  <si>
    <t>Ocurrencia de Sismo</t>
  </si>
  <si>
    <t>Energía Eléctrica</t>
  </si>
  <si>
    <t>Contacto directo / indirecto / inducción con energía eléctrica</t>
  </si>
  <si>
    <t>Frío
(Temperaturas extremas)</t>
  </si>
  <si>
    <t>Maquinaria o Piezas en movimiento</t>
  </si>
  <si>
    <t>Atrapado por pieza en movimiento</t>
  </si>
  <si>
    <t>Otros.</t>
  </si>
  <si>
    <t>Carga Suspendidas</t>
  </si>
  <si>
    <t>Golpeado por Caída de cargas suspendidas</t>
  </si>
  <si>
    <t>MATRIZ DE EVALUACIÓN DE RIESGOS DE SALUD OCUPACIONAL</t>
  </si>
  <si>
    <t>SEVERIDAD</t>
  </si>
  <si>
    <t>LESIONES PERSONALES</t>
  </si>
  <si>
    <t>DAÑO A LA PROPIEDAD</t>
  </si>
  <si>
    <t>DAÑO AL PROCESO</t>
  </si>
  <si>
    <t>_A</t>
  </si>
  <si>
    <t>_B</t>
  </si>
  <si>
    <t>_C</t>
  </si>
  <si>
    <t>_D</t>
  </si>
  <si>
    <t>_E</t>
  </si>
  <si>
    <t>_1</t>
  </si>
  <si>
    <t>1 
ALTO</t>
  </si>
  <si>
    <t>2 
ALTO</t>
  </si>
  <si>
    <t>4 
ALTO</t>
  </si>
  <si>
    <t>7 
ALTO</t>
  </si>
  <si>
    <t>11 
MEDIO</t>
  </si>
  <si>
    <t>Catastrófico</t>
  </si>
  <si>
    <t>Varias fatalidades. Varias personas con lesiones permanentes.</t>
  </si>
  <si>
    <t>Pérdidas por un monto mayor a US$ 100,000</t>
  </si>
  <si>
    <t>Paralización del proceso de más de 1 mes o paralización definitiva.</t>
  </si>
  <si>
    <t>_2</t>
  </si>
  <si>
    <t>3 
ALTO</t>
  </si>
  <si>
    <t>5 
ALTO</t>
  </si>
  <si>
    <t>8 
ALTO</t>
  </si>
  <si>
    <t>Mortalidad</t>
  </si>
  <si>
    <t>Una mortalidad. Estado vegetal.</t>
  </si>
  <si>
    <t>Pérdidas por un monto entre  US$ 10,001 y  US$ 100,000</t>
  </si>
  <si>
    <t>Paralización del proceso de más de 1 semana y menos de 1 mes</t>
  </si>
  <si>
    <t>_3</t>
  </si>
  <si>
    <t>6 
ALTO</t>
  </si>
  <si>
    <t>9 
MEDIO</t>
  </si>
  <si>
    <t>13 
MEDIO</t>
  </si>
  <si>
    <t>17 
BAJO</t>
  </si>
  <si>
    <t>20 
BAJO</t>
  </si>
  <si>
    <t>Permanente</t>
  </si>
  <si>
    <t>Lesiones  que incapacitan a Ia persona para su actividad normal de por vida. Enfermedades ocupacionales avanzadas.</t>
  </si>
  <si>
    <t>Pérdida por un monto entre US$ 5,001 y  US$ 10,000</t>
  </si>
  <si>
    <t>Paralización del proceso de más de 1 día hasta 1 semana.</t>
  </si>
  <si>
    <t>_4</t>
  </si>
  <si>
    <t>10 
MEDIO</t>
  </si>
  <si>
    <t>14 
MEDIO</t>
  </si>
  <si>
    <t>18 
BAJO</t>
  </si>
  <si>
    <t>21 
BAJO</t>
  </si>
  <si>
    <t>23 
BAJO</t>
  </si>
  <si>
    <t>Temporal</t>
  </si>
  <si>
    <t>Lesiones  que incapacitan a Ia persona temporalmente. Lesiones por posicion ergonómica</t>
  </si>
  <si>
    <t>Pérdida por monto mayor o igual a US$ 1,000 y menor a US$ 5,000</t>
  </si>
  <si>
    <t>Paralización de 1 día.</t>
  </si>
  <si>
    <t>_5</t>
  </si>
  <si>
    <t>15 
MEDIO</t>
  </si>
  <si>
    <t>19 
BAJO</t>
  </si>
  <si>
    <t>22 
BAJO</t>
  </si>
  <si>
    <t>24 
BAJO</t>
  </si>
  <si>
    <t>25 
BAJO</t>
  </si>
  <si>
    <t>Menor</t>
  </si>
  <si>
    <t>Lesión que no incapacita a Ia persona. Lesiones leves.</t>
  </si>
  <si>
    <t>Pérdida por monto menor a US$ 1,000</t>
  </si>
  <si>
    <t>Paralización menor de 1 día.</t>
  </si>
  <si>
    <t>A</t>
  </si>
  <si>
    <t>Alto</t>
  </si>
  <si>
    <t>Medio</t>
  </si>
  <si>
    <t>Bajo</t>
  </si>
  <si>
    <t>Muchas (6 o más) personas expuestas. 
Varias veces  al día .</t>
  </si>
  <si>
    <t>Moderado (3 a 5) personas expuestas varias veces al día.</t>
  </si>
  <si>
    <t>Pocas (1 a 2) personas expuestas varias veces al día. Muchas personas expuestas ocasionaImente .</t>
  </si>
  <si>
    <t>Moderado (3 a 5) personas expuestas ocasionaImente .</t>
  </si>
  <si>
    <t>Pocas (1 a 2) personas expuestas ocasionaImente.</t>
  </si>
  <si>
    <t>FRECUENCIA DE EXPOSICIÓN</t>
  </si>
  <si>
    <t>LISTA ESTANDARIZADA DE PELIGROS Y RIESGOS DE SEGURIDAD Y SALUD OCUPACIONAL</t>
  </si>
  <si>
    <t>AGENTE</t>
  </si>
  <si>
    <t>CÓDIGO</t>
  </si>
  <si>
    <t>PELIGROS</t>
  </si>
  <si>
    <t>RIESGOS</t>
  </si>
  <si>
    <t>CONSECUENCIAS</t>
  </si>
  <si>
    <t>FÍSICO</t>
  </si>
  <si>
    <t>H1</t>
  </si>
  <si>
    <t>Hipoacusia inducida por ruido, hipertensión arterial, estrés laboral</t>
  </si>
  <si>
    <t>Permanente (3)</t>
  </si>
  <si>
    <t>H2</t>
  </si>
  <si>
    <t>Enfermedad del disco intervertebral, con efectos reversibles</t>
  </si>
  <si>
    <t>H3</t>
  </si>
  <si>
    <t>Vibración mano - brazo</t>
  </si>
  <si>
    <t>Exposición a vibración de mano - brazo</t>
  </si>
  <si>
    <t>Trastornos musculoesquelético, de los tendones, Alteraciones Articulares Neurológicas y Vasculares, Síndrome de Dedos Blancos.</t>
  </si>
  <si>
    <t>H4</t>
  </si>
  <si>
    <t>Cáncer,  dermatitis en manos y efectos en el sistema hematológico, quemaduras, alteración/mutación genética,  daños a los tejidos del cuerpo, muerte.</t>
  </si>
  <si>
    <t>Mortalidad (2)</t>
  </si>
  <si>
    <t>H5</t>
  </si>
  <si>
    <t>Radiaciones no ionizantes (Soldadura, Corte, etc.)</t>
  </si>
  <si>
    <t>Conjuntivitis, cataratas, problemas neurológicos, lesión de retina.</t>
  </si>
  <si>
    <t>H6</t>
  </si>
  <si>
    <t>Iluminación (deficiente o excesiva)</t>
  </si>
  <si>
    <t>Exposición a iluminación (deficiente o excesiva)</t>
  </si>
  <si>
    <t>Fatigas visuales, dolor de cabeza, estrés por exposición disminución de la agudeza visual, asteopía, miopía, dolor de cabeza.</t>
  </si>
  <si>
    <t>H7</t>
  </si>
  <si>
    <t>Radiaciones No Ionizantes (Radiación solar, infrarroja, ultravioleta, etc.)</t>
  </si>
  <si>
    <t>Desgaste visual, cáncer de piel (exposición solar), dermatitis.</t>
  </si>
  <si>
    <t>H8</t>
  </si>
  <si>
    <t>Exposición a bajas temperaturas</t>
  </si>
  <si>
    <t>Frío: Escalofríos, Hipotermia, Gripes, Peligro de congelamiento, Vasodilatación, Arritmia Ventricular o Fibrilar.</t>
  </si>
  <si>
    <t>Temporal (4)</t>
  </si>
  <si>
    <t>Calor: Sofocación, Estrés Térmico, Insolación, Deshidratación, Fatiga.</t>
  </si>
  <si>
    <t>H9</t>
  </si>
  <si>
    <t>Presión Atmosférica</t>
  </si>
  <si>
    <t>Exposición a Presión Atmosférica Anormales</t>
  </si>
  <si>
    <t>Desmayos, Aumento de Presión Arterial,  Confusión, desorientación, mareos, descoordinación.</t>
  </si>
  <si>
    <t>S1</t>
  </si>
  <si>
    <t>Shock eléctrico, paro cardio-respiratorio, Quemaduras I, II, III, Muerte.</t>
  </si>
  <si>
    <t>H10</t>
  </si>
  <si>
    <t>Humedad</t>
  </si>
  <si>
    <t>Exposición a Excesiva Humedad</t>
  </si>
  <si>
    <t>Sequedad de la piel, Escozor de ojos, Sinusitis, Dermatitis, Resfriados, Alergias, Sensación de falta de aire.</t>
  </si>
  <si>
    <t>QUÍMICO</t>
  </si>
  <si>
    <t>H11</t>
  </si>
  <si>
    <t>Afecciones Agudas del Tracto Respiratorio, Asma, Neumoconiosis</t>
  </si>
  <si>
    <t>H12</t>
  </si>
  <si>
    <t>Humos de soldadura</t>
  </si>
  <si>
    <t>Exposición a humos de soldadura</t>
  </si>
  <si>
    <t>Intoxicaciones crónicas, afecciones respiratorias</t>
  </si>
  <si>
    <t>H13</t>
  </si>
  <si>
    <t>Neblina ácida (ácido sulfúrico) / gases tóxicos (ácido clorhídrico, ácido fluorhídrico, ácido nítrico)</t>
  </si>
  <si>
    <t>Exposición a neblina ácida /gases tóxicos</t>
  </si>
  <si>
    <t>Irritación de piel y mucosas</t>
  </si>
  <si>
    <t>H14</t>
  </si>
  <si>
    <t>Gases tóxicos (cianuro, H2S)</t>
  </si>
  <si>
    <t>Exposición a Gases tóxicos (cianuro)</t>
  </si>
  <si>
    <t>Cefalea, nauseas, dificultad respiratoria, muerte</t>
  </si>
  <si>
    <t>H15</t>
  </si>
  <si>
    <t>Vapores orgánicos volátiles (pintura, solventes)</t>
  </si>
  <si>
    <t>Exposición a Vapores orgánicos volátiles</t>
  </si>
  <si>
    <t>Efecto neurológico</t>
  </si>
  <si>
    <t>H16</t>
  </si>
  <si>
    <t xml:space="preserve">Plomo </t>
  </si>
  <si>
    <t>Exposición a plomo</t>
  </si>
  <si>
    <t xml:space="preserve">Intoxicación crónica por plomo </t>
  </si>
  <si>
    <t>H17</t>
  </si>
  <si>
    <t xml:space="preserve">Productos químicos con componentes cancerígenos </t>
  </si>
  <si>
    <t xml:space="preserve">Exposición productos químicos con componentes cancerígenos </t>
  </si>
  <si>
    <t>Cáncer</t>
  </si>
  <si>
    <t>H18</t>
  </si>
  <si>
    <t xml:space="preserve">Sustancias asfixiantes </t>
  </si>
  <si>
    <t xml:space="preserve">Exposición a Sustancias asfixiantes </t>
  </si>
  <si>
    <t xml:space="preserve">Asfixia, desmayo, sofocación Muerte por inhalación, </t>
  </si>
  <si>
    <t>S2</t>
  </si>
  <si>
    <t>Material Explosivo</t>
  </si>
  <si>
    <t>Explosión</t>
  </si>
  <si>
    <t>Quemaduras, Traumatismos, Contusiones, Hipoacusia, Asfixia, Muerte, Daños a la Propiedad.</t>
  </si>
  <si>
    <t>H19</t>
  </si>
  <si>
    <t>Sustancias corrosivas (cal, NaHS)</t>
  </si>
  <si>
    <t>Exposición a sustancias corrosivas</t>
  </si>
  <si>
    <t>Irritación, Quemaduras</t>
  </si>
  <si>
    <t>H20</t>
  </si>
  <si>
    <t>Líquidos o materiales inflamables</t>
  </si>
  <si>
    <t>Exposición a líquidos o materiales inflamables</t>
  </si>
  <si>
    <t>Irritación de piel, quemaduras</t>
  </si>
  <si>
    <t>H21</t>
  </si>
  <si>
    <t>Gases de combustión de máquinas</t>
  </si>
  <si>
    <t>Exposición a gases de combustión de máquinas</t>
  </si>
  <si>
    <t>Asfixia, intoxicación</t>
  </si>
  <si>
    <t>H22</t>
  </si>
  <si>
    <t>Gases comprimidos (oxigeno, acetileno, gas propano, nitrógeno y otros)</t>
  </si>
  <si>
    <t>Exposición a gases comprimidos.</t>
  </si>
  <si>
    <t>Asfixia, Intoxicación, Muerte por fuga, explosión, incendio</t>
  </si>
  <si>
    <t>BIOLÓGICO</t>
  </si>
  <si>
    <t>H23</t>
  </si>
  <si>
    <t>Enfermedades infecciosas o parasitarias, Intoxicación.</t>
  </si>
  <si>
    <t>H24</t>
  </si>
  <si>
    <t>Animales, Insectos</t>
  </si>
  <si>
    <t>Potencial ataque de Animales e Insectos</t>
  </si>
  <si>
    <t>Lesiones de piel, envenenamiento por picadura, transmisión de enfermedades infecciosas por exposición, hematomas.</t>
  </si>
  <si>
    <t>ERGONÓMICO</t>
  </si>
  <si>
    <t>H25</t>
  </si>
  <si>
    <t>Cervicalgia, Dorsalgia, Escoliosis, Síndrome de Túnel Carpiano, Lumbalgias, Bursitis, Celulitis, Cuello u hombro tensos, Dedo engatillado, Epicondilitis, Ganglios, Osteoartritis, Tendinitis, Tenosinovitis, Fatiga, Trastornos músculo esqueléticos</t>
  </si>
  <si>
    <t>H26</t>
  </si>
  <si>
    <t>Fatiga, Trastornos músculo esqueléticos por sobre esfuerzo físico</t>
  </si>
  <si>
    <t>H27</t>
  </si>
  <si>
    <t>H28</t>
  </si>
  <si>
    <t>Fatiga, Trastornos músculo esqueléticos por exposición a posiciones no ergonómicas</t>
  </si>
  <si>
    <t>H29</t>
  </si>
  <si>
    <t>Espacio Inadecuado de Trabajo</t>
  </si>
  <si>
    <t>Disergonómico por espacio inadecuado de trabajo</t>
  </si>
  <si>
    <t>Distensión, Torsión, Fatiga y Disturbios osteo-musculares relacionados al trabajo.</t>
  </si>
  <si>
    <t>RIESGOS MECÁNICOS</t>
  </si>
  <si>
    <t>S3</t>
  </si>
  <si>
    <t>Vehículos o equipos en Movimiento (equipo de producción, auxiliar, servicio, liviano, buses,etc)</t>
  </si>
  <si>
    <t>Atropello, volcadura, colisiones, despistes, deslizamientos, hundimientos.</t>
  </si>
  <si>
    <t>Fractura, Contusiones, Lesiones, Muerte y Daños a la propiedad.</t>
  </si>
  <si>
    <t>S4</t>
  </si>
  <si>
    <t>Fractura, Contusiones, Lesiones, Mutilaciones Muerte.</t>
  </si>
  <si>
    <t>S5</t>
  </si>
  <si>
    <t>Espacio Confinado
(Atmósfera Peligrosa)</t>
  </si>
  <si>
    <t>Trabajo en espacio confinado</t>
  </si>
  <si>
    <t>Atrapamiento, asfixia, Intoxicación, Muerte</t>
  </si>
  <si>
    <t>S6</t>
  </si>
  <si>
    <t>Excoriaciones, Abrasiones (Lesiones Superficial), Fracturas y Contusiones</t>
  </si>
  <si>
    <t>S7</t>
  </si>
  <si>
    <t xml:space="preserve">Aberturas en pisos, plataformas, pasillos (open hole) </t>
  </si>
  <si>
    <t>Fractura y Contusiones, Muerte.</t>
  </si>
  <si>
    <t>S8</t>
  </si>
  <si>
    <t>Cortes, Excoriaciones, Amputaciones, Muerte</t>
  </si>
  <si>
    <t>S9</t>
  </si>
  <si>
    <t>Objetos Almacenados en Altura</t>
  </si>
  <si>
    <t>Golpeado por caída de materiales almacenados en altura</t>
  </si>
  <si>
    <t>Golpes, Contusión, Aplastamiento, Traumatismo, Politraumatismos, muerte.</t>
  </si>
  <si>
    <t>S10</t>
  </si>
  <si>
    <t>Golpes, Contusión, Traumatismo, Muerte, Daños a la Propiedad.</t>
  </si>
  <si>
    <t>S11</t>
  </si>
  <si>
    <t>Fluidos a Presión, Equipo Presurizado
(Hidráulica, Neumática)</t>
  </si>
  <si>
    <t>Golpeado por fluidos a presión</t>
  </si>
  <si>
    <t>Golpes, Traumatismo, Quemaduras, contusiones, muerte.</t>
  </si>
  <si>
    <t>Quemaduras, Traumatismos, Contusiones, Asfixia, Muerte</t>
  </si>
  <si>
    <t>S12</t>
  </si>
  <si>
    <t>Proyección de partículas</t>
  </si>
  <si>
    <t>Contacto con partículas en proyección</t>
  </si>
  <si>
    <t>Lesión ocular, Ceguera, Irritaciones, Daño Visual.</t>
  </si>
  <si>
    <t>S13</t>
  </si>
  <si>
    <t>Excavaciones</t>
  </si>
  <si>
    <t>Caídas a diferente nivel</t>
  </si>
  <si>
    <t>Fractura, contusiones, muerte</t>
  </si>
  <si>
    <t>Deslizamiento de material</t>
  </si>
  <si>
    <t>Asfixia, Sofocación, Contusiones, Atrapamientos, Deslizamientos, Lesiones, Muerte.</t>
  </si>
  <si>
    <t>Contacto con líneas eléctricas energizadas y/o fluidos</t>
  </si>
  <si>
    <t>Lesiones, electrocución, muerte.</t>
  </si>
  <si>
    <t>S14</t>
  </si>
  <si>
    <t>Terreno o Superficies Inestables
(Taludes, Superficies, etc.)</t>
  </si>
  <si>
    <t>Deslizamientos de Terreno, Potencial Caída de Piedras</t>
  </si>
  <si>
    <t>Atrapamientos, Asfixia, Traumatismo, Politraumatismo Hundimiento de Equipos.</t>
  </si>
  <si>
    <t>S15</t>
  </si>
  <si>
    <t xml:space="preserve">Estructuras e Instalaciones Inestables
(Instalaciones, muros, andamios, escaleras, plataformas, etc.) </t>
  </si>
  <si>
    <t>Desplome de estructuras / plataformas de trabajos / instalaciones</t>
  </si>
  <si>
    <t>Golpes, Traumatismo, Politraumatismo, Muerte, Daño a la propiedad.</t>
  </si>
  <si>
    <t>S16</t>
  </si>
  <si>
    <t>Lesiones Graves, Muerte, Daños a la propiedad.</t>
  </si>
  <si>
    <t>S17</t>
  </si>
  <si>
    <t>Subir y bajar escaleras</t>
  </si>
  <si>
    <t>Caida a distinto nivel</t>
  </si>
  <si>
    <t>Golpes, traumatismo.</t>
  </si>
  <si>
    <t>PSICOSOCIAL</t>
  </si>
  <si>
    <t>Manifestaciones</t>
  </si>
  <si>
    <t>Estrés</t>
  </si>
  <si>
    <t xml:space="preserve">Ansiedad, depresión, golpes heridas por agresiones, </t>
  </si>
  <si>
    <t>H30</t>
  </si>
  <si>
    <t>Horas de trabajo prolongadas, excesivas</t>
  </si>
  <si>
    <t>Ansiedad, depresión</t>
  </si>
  <si>
    <t>H31</t>
  </si>
  <si>
    <t>Sobrecarga de Trabajo</t>
  </si>
  <si>
    <t>H32</t>
  </si>
  <si>
    <t>Personas con conductas agresivas</t>
  </si>
  <si>
    <t>Ansiedad, depresión, heridas por agresiones y maltratos</t>
  </si>
  <si>
    <t>H33</t>
  </si>
  <si>
    <t>Acoso y hostigamiento sexual</t>
  </si>
  <si>
    <t>LOCATIVO</t>
  </si>
  <si>
    <t>H34</t>
  </si>
  <si>
    <t>Dermatitis de contacto, quemaduras, envenenamiento</t>
  </si>
  <si>
    <t>Contacto de la vista con sustancias o agentes dañinos</t>
  </si>
  <si>
    <t>Irritación, Conjuntivitis Química, Quemadura</t>
  </si>
  <si>
    <t>Inhalación de sustancias o agentes dañinos</t>
  </si>
  <si>
    <t>Asfixia, Asma, Intoxicación, Irritación, Problemas del aparato respiratorio, Perforación de pirámides nasales.</t>
  </si>
  <si>
    <t>Ingestión de sustancias o agentes dañinos</t>
  </si>
  <si>
    <t>Intoxicación, envenenamiento, Dolencias hepáticas, renales y neurológicas.</t>
  </si>
  <si>
    <t>S18</t>
  </si>
  <si>
    <t>Manipulación de accesorios para voladura</t>
  </si>
  <si>
    <t>Hipoacusia, Amputaciones, politraumatismos, muerte por explosión.</t>
  </si>
  <si>
    <t>S19</t>
  </si>
  <si>
    <t>Tiro cortado (Explosivos sin detonar después de una voladura)</t>
  </si>
  <si>
    <t>S20</t>
  </si>
  <si>
    <t>Quemaduras, Asfixia, Traumatismos, Muerte, Daños a la Propiedad.</t>
  </si>
  <si>
    <t>S21</t>
  </si>
  <si>
    <t>Izaje de cargas</t>
  </si>
  <si>
    <t>Golpes, Contusión, Traumatismo, Muerte.</t>
  </si>
  <si>
    <t>S22</t>
  </si>
  <si>
    <t>Trabajo en Caliente (soldadura, esmerilado, etc.)</t>
  </si>
  <si>
    <t>Contacto térmico, Inhalación de gases o humos, Incendios, Exposición a radiaciones no ionizantes</t>
  </si>
  <si>
    <t>Quemaduras, Enfermedades respiratorias, Conjuntivitis, Muerte</t>
  </si>
  <si>
    <t>S23</t>
  </si>
  <si>
    <t xml:space="preserve">Trabajos sobre cuerpos / cursos de agua </t>
  </si>
  <si>
    <t>Potencial Caída a Agua</t>
  </si>
  <si>
    <t>Ahogamiento, Golpes, Muerte.</t>
  </si>
  <si>
    <t>S24</t>
  </si>
  <si>
    <t>Manipulación de Herramientas/objetos</t>
  </si>
  <si>
    <t>Contacto por manipulación de herramientas  / objetos</t>
  </si>
  <si>
    <t>Golpes, Cortes, Atrapamientos, Aplastamientos, Traumatismo, contusiones.</t>
  </si>
  <si>
    <t>S25</t>
  </si>
  <si>
    <t>S26</t>
  </si>
  <si>
    <t>CLIMATICO</t>
  </si>
  <si>
    <t>S27</t>
  </si>
  <si>
    <t>Contusiones, traumatismos por caídas a nivel y desnivel / caída de objetos</t>
  </si>
  <si>
    <t>S28</t>
  </si>
  <si>
    <t>Tormenta Eléctrica</t>
  </si>
  <si>
    <t>Exposición a tormenta eléctrica</t>
  </si>
  <si>
    <t>Electro fulguración, muerte</t>
  </si>
  <si>
    <t>S29</t>
  </si>
  <si>
    <t>Contusiones, traumatismos, muerte por caída del personal /colapso de estructuras</t>
  </si>
  <si>
    <t>S30</t>
  </si>
  <si>
    <t>Molestias en la garganta, faringitis, afecciones respiratorias por exposición</t>
  </si>
  <si>
    <t>Otros</t>
  </si>
  <si>
    <t>O1</t>
  </si>
  <si>
    <t>aprisionamiento de mano por puerta de baño</t>
  </si>
  <si>
    <t>Congestión o acción restringida (accesos limitados)</t>
  </si>
  <si>
    <t>Golpes contra objetos inmóviles</t>
  </si>
  <si>
    <t>PELIGROS - Copia</t>
  </si>
  <si>
    <t>Vibración_de_cuerpo_completo</t>
  </si>
  <si>
    <t>Vibración_mano___brazo</t>
  </si>
  <si>
    <t>Radiación_ionizante</t>
  </si>
  <si>
    <t>Radiaciones_no_ionizantes__Soldadura__Corte__etc__</t>
  </si>
  <si>
    <t>Iluminación__deficiente_o_excesiva_</t>
  </si>
  <si>
    <t>Radiaciones_No_Ionizantes__Radiación_solar__infrarroja__ultravioleta__etc__</t>
  </si>
  <si>
    <t>Frío_Temperaturas_extremas_</t>
  </si>
  <si>
    <t>Calor_Temperaturas_extremas_</t>
  </si>
  <si>
    <t>Presión_Atmosférica</t>
  </si>
  <si>
    <t>Energía_Eléctrica</t>
  </si>
  <si>
    <t>Polvo__material_particulado_</t>
  </si>
  <si>
    <t>Humos_de_soldadura</t>
  </si>
  <si>
    <t>Neblina_ácida__ácido_sulfúrico____gases_tóxicos__ácido_clorhídrico__ácido_fluorhídrico__ácido_nítrico_</t>
  </si>
  <si>
    <t>Gases_tóxicos__cianuro__H2S_</t>
  </si>
  <si>
    <t>Vapores_orgánicos_volátiles__pintura__solventes_</t>
  </si>
  <si>
    <t>Plomo_</t>
  </si>
  <si>
    <t>Productos_químicos_con_componentes_cancerígenos_</t>
  </si>
  <si>
    <t>Sustancias_asfixiantes_</t>
  </si>
  <si>
    <t>Material_Explosivo</t>
  </si>
  <si>
    <t>Sustancias_corrosivas__cal__NaHS_</t>
  </si>
  <si>
    <t>Líquidos_o_materiales_inflamables</t>
  </si>
  <si>
    <t>Gases_de_combustión_de_máquinas</t>
  </si>
  <si>
    <t>Gases_comprimidos__oxigeno__acetileno__gas_propano__nitrógeno_y_otros_</t>
  </si>
  <si>
    <t>Agentes_Biológicos__virus__mohos__hongos__bacterias_parásitos_gastrointestinales_etc__</t>
  </si>
  <si>
    <t>Animales__Insectos</t>
  </si>
  <si>
    <t>Movimientos_Repetitivos</t>
  </si>
  <si>
    <t>Levantamiento_o_traslado_manual_de_cargas</t>
  </si>
  <si>
    <t>Empuje_o_tracción_manual_de_cargas</t>
  </si>
  <si>
    <t>Posturas_inadecuadas</t>
  </si>
  <si>
    <t>Espacio_Inadecuado_de_Trabajo</t>
  </si>
  <si>
    <t>Vehículos_o_equipos_en_Movimiento__equipo_de_producción__auxiliar__servicio__liviano__buses_etc_</t>
  </si>
  <si>
    <t>Maquinaria_o_Piezas_en_movimiento</t>
  </si>
  <si>
    <t>Espacio_Confinado_Atmósfera_Peligrosa_</t>
  </si>
  <si>
    <t>Superficie_Resbaladiza__Irregular__Obstáculos_en_el_piso</t>
  </si>
  <si>
    <t>Aberturas_en_pisos__plataformas__pasillos__open_hole__</t>
  </si>
  <si>
    <t>Superficies_Punzo_Cortantes</t>
  </si>
  <si>
    <t>Objetos_Almacenados_en_Altura</t>
  </si>
  <si>
    <t>Carga_Suspendidas</t>
  </si>
  <si>
    <t>Fluidos_a_Presión__Equipo_Presurizado_Hidráulica__Neumática_</t>
  </si>
  <si>
    <t>Proyección_de_partículas</t>
  </si>
  <si>
    <t>Terreno_o_Superficies_Inestables_Taludes__Superficies__etc__</t>
  </si>
  <si>
    <t>Estructuras_e_Instalaciones_Inestables_Instalaciones__muros__andamios__escaleras__plataformas__etc___</t>
  </si>
  <si>
    <t>Vías___Accesos_no_señalizados</t>
  </si>
  <si>
    <t>Horas_de_trabajo_prolongadas__excesivas</t>
  </si>
  <si>
    <t>Sobrecarga_de_Trabajo</t>
  </si>
  <si>
    <t>Personas_con_conductas_agresivas</t>
  </si>
  <si>
    <t>Acoso_y_hostigamiento_sexual</t>
  </si>
  <si>
    <t>Manipulación_de_sustancias_químicas_</t>
  </si>
  <si>
    <t>Manipulación_de_accesorios_para_voladura</t>
  </si>
  <si>
    <t>Tiro_cortado__Explosivos_sin_detonar_después_de_una_voladura_</t>
  </si>
  <si>
    <t>Material_Inflamable__Material_combustible__Gases_combustibles__Líquidos_inflamables__Líquidos_combustibles</t>
  </si>
  <si>
    <t>Izaje_de_cargas</t>
  </si>
  <si>
    <t>Trabajo_en_Caliente__soldadura__esmerilado__etc__</t>
  </si>
  <si>
    <t>Trabajos_sobre_cuerpos___cursos_de_agua_</t>
  </si>
  <si>
    <t>Manipulación_de_Herramientas_objetos</t>
  </si>
  <si>
    <t>Operación_de_Vehículos_o_equipos_en_Movimiento__equipo_de_producción__auxiliar__servicio__liviano__buses_etc_</t>
  </si>
  <si>
    <t>Trabajos_en_altura__encima_de_1_50_metros_</t>
  </si>
  <si>
    <t>Vientos_fuertes</t>
  </si>
  <si>
    <t>Tormenta_Eléctrica</t>
  </si>
  <si>
    <t>Corrientes_de_aire</t>
  </si>
  <si>
    <t>Otros_</t>
  </si>
  <si>
    <t>Golpeado por Caída de cargas suspendidas, volcaduras, contacto con líneas energizadas, contacto, colisión con equipos móviles o fijos</t>
  </si>
  <si>
    <t>Contenedor o cisterna del camión intercambiador en movimiento</t>
  </si>
  <si>
    <t>Aplastamiento, golpe, Caída de la cisterna/contenedor durante el traslado, Accidente vehicular (pérdida de control por inestabilidad)</t>
  </si>
  <si>
    <t>S31</t>
  </si>
  <si>
    <t>Brazo hidráulico del intercambiador (movimiento mecánico bajo presión).</t>
  </si>
  <si>
    <t>Exposición a golpes, caida del contenedor o cisterna por falla hidraulica. Fuga de fluido a presión. Proyección de partes</t>
  </si>
  <si>
    <t>Ascenso y descenso de la unidad vehicular utilizando peldaños/estribo.</t>
  </si>
  <si>
    <t>Basculación de contenedores</t>
  </si>
  <si>
    <t>Aplastamiento , exposicion a golpe</t>
  </si>
  <si>
    <t>VERSIÓN DE DOCUMENTO</t>
  </si>
  <si>
    <t>CÓDIGO DEL DOCUMENTO:</t>
  </si>
  <si>
    <t>ÁREA/SUBAREA:</t>
  </si>
  <si>
    <t>EQUIPO EVALUADOR:</t>
  </si>
  <si>
    <t>1. Eliminación</t>
  </si>
  <si>
    <t>2. Sustitución</t>
  </si>
  <si>
    <t>3. Controles de Ingeniería</t>
  </si>
  <si>
    <t>4. Controles Administrativos</t>
  </si>
  <si>
    <t>Código</t>
  </si>
  <si>
    <t>¿Quién?</t>
  </si>
  <si>
    <t>¿Cuándo?</t>
  </si>
  <si>
    <t>AB</t>
  </si>
  <si>
    <t>AF</t>
  </si>
  <si>
    <t>AQ</t>
  </si>
  <si>
    <t>AE</t>
  </si>
  <si>
    <t>AM</t>
  </si>
  <si>
    <t>AC</t>
  </si>
  <si>
    <t>AF1</t>
  </si>
  <si>
    <t>Hipoacusia inducida por ruido, incremento transitorio de la presión, problemas cardiovasculares,  estrés y fatiga (física).</t>
  </si>
  <si>
    <t>AF2</t>
  </si>
  <si>
    <t>Trastornos respiratorios, musculoesqueléticos, sensoriales y del sistema nervioso central.</t>
  </si>
  <si>
    <t>AF3</t>
  </si>
  <si>
    <t>AF4</t>
  </si>
  <si>
    <t>Exposición a radiaciones ionizantes</t>
  </si>
  <si>
    <t>Cáncer,  dermatitis en manos y efectos en el sistema hematológico, quemaduras, alteración/mutación genética,  daños a los tejidos del cuerpo, Muerte</t>
  </si>
  <si>
    <t>AF5</t>
  </si>
  <si>
    <t>Radiaciones no ionizantes</t>
  </si>
  <si>
    <t>Desgaste visual, conjuntivitis, catarata, lesión de retina, dermatitis, cáncer</t>
  </si>
  <si>
    <t>AF6</t>
  </si>
  <si>
    <t>AF7</t>
  </si>
  <si>
    <t>Frío</t>
  </si>
  <si>
    <t>Frío: Escalofríos, hipotermia, gripes, congelamiento, vasodilatación, arritmia ventricular o fibrilar.</t>
  </si>
  <si>
    <t>(Temperaturas extremas)</t>
  </si>
  <si>
    <t>AF8</t>
  </si>
  <si>
    <t>Calor</t>
  </si>
  <si>
    <t>Calor: Sofocación, estrés térmico, insolación, deshidratación, fatiga.</t>
  </si>
  <si>
    <t>AF9</t>
  </si>
  <si>
    <t>Exposición a presión atmosférica anormales</t>
  </si>
  <si>
    <t>Desmayos, Aumento de presión arterial, confusión, desorientación, mareos, descoordinación.</t>
  </si>
  <si>
    <t>AF10</t>
  </si>
  <si>
    <t>Exposición a humedad excesiva</t>
  </si>
  <si>
    <t>Infecciones respiratorias, escozor de ojos, sinusitis, dermatitis, resfriados, alergias, sensación de falta de aire.</t>
  </si>
  <si>
    <t>AQ1</t>
  </si>
  <si>
    <t>Inhalación de polvo</t>
  </si>
  <si>
    <t>Silicosis y otras neumoconiosis (antracosis, siderosis, asbestosis, etc.), episodios alérgicos respiratorios: rinitis, bronquitis, asma ocupacional.</t>
  </si>
  <si>
    <t>AQ2</t>
  </si>
  <si>
    <t>Exposición de polvo</t>
  </si>
  <si>
    <t>Irritación ocular, conjuntivitis, alergias</t>
  </si>
  <si>
    <t>AQ3</t>
  </si>
  <si>
    <t>Inhalación humos de soldadura</t>
  </si>
  <si>
    <t>AQ4</t>
  </si>
  <si>
    <t>Neblina ácida</t>
  </si>
  <si>
    <t>Exposición a neblina ácida</t>
  </si>
  <si>
    <t>Irritación de piel, sensación de quemazón y sofoco, dolor de garganta, irritación ocular y nasal, tos y opresión del pecho. Cáncer. Daño severo en pulmones.</t>
  </si>
  <si>
    <t>AQ5</t>
  </si>
  <si>
    <t>Gases tóxicos (Cianuro, ácido sulfhídrico)</t>
  </si>
  <si>
    <t>Inhalación de Gases tóxicos</t>
  </si>
  <si>
    <t>Cefalea, náuseas, dificultad respiratoria, muerte</t>
  </si>
  <si>
    <t>AQ6</t>
  </si>
  <si>
    <t>Vapores orgánicos volátiles</t>
  </si>
  <si>
    <t>Inhalación de vapores orgánicos</t>
  </si>
  <si>
    <t>Lesiones al hígado, riñones y sistema nervioso central, alergias crónicas, cáncer, Irritación ocular y nasal, somnolencia, vértigo, malestar, dolor de cabeza, vómitos, reacciones alérgicas de la piel.</t>
  </si>
  <si>
    <t>AQ7</t>
  </si>
  <si>
    <t>Metales pesados tóxicos (Plomo, Mercurio, Cadmio, Arsénico, Cromo)</t>
  </si>
  <si>
    <t>Exposición a metales pesados tóxicos</t>
  </si>
  <si>
    <t>Cefaleas, fatiga, Irritabilidad, dolor abdominal, cólicos, diarreas, trastornos cognitivos, encefalopatías, anorexia, hipertensión arterial, insuficiencia renal, Muerte</t>
  </si>
  <si>
    <t>AQ8</t>
  </si>
  <si>
    <t>Productos químicos con componentes cancerígenos</t>
  </si>
  <si>
    <t>Exposición productos químicos con componentes cancerígenos</t>
  </si>
  <si>
    <t>AQ9</t>
  </si>
  <si>
    <t>Sustancias asfixiantes</t>
  </si>
  <si>
    <t>Inhalación de sustancias asfixiantes</t>
  </si>
  <si>
    <t>Cefalea, vértigo, náuseas, vómitos, letargo, cianosis, convulsiones, Coma, muerte.</t>
  </si>
  <si>
    <t>AQ10</t>
  </si>
  <si>
    <t>Incendio, explosión</t>
  </si>
  <si>
    <t>Quemaduras, politraumatismos, contusiones, amputaciones, hipoacusia, Coma, muerte, daño a la propiedad</t>
  </si>
  <si>
    <t>AQ11</t>
  </si>
  <si>
    <t>Sustancias corrosivas</t>
  </si>
  <si>
    <t>Irritación de piel y ojos, quemaduras</t>
  </si>
  <si>
    <t>AQ12</t>
  </si>
  <si>
    <t>Materiales inflamables</t>
  </si>
  <si>
    <t>AQ13</t>
  </si>
  <si>
    <t>Gases comprimidos</t>
  </si>
  <si>
    <t>Quemaduras, traumatismos, contusiones, hipoacusia, Coma, muerte, daño a la propiedad</t>
  </si>
  <si>
    <t>AQ14</t>
  </si>
  <si>
    <t>Exposición a gases comprimidos</t>
  </si>
  <si>
    <t>Muerte por asfixia, irritación, quemaduras, alergias.</t>
  </si>
  <si>
    <t>AQ15</t>
  </si>
  <si>
    <t>Productos químicos</t>
  </si>
  <si>
    <t>Contacto de la piel y/u ojos con productos químicos</t>
  </si>
  <si>
    <t>Dermatitis, quemaduras, envenenamiento, irritación, conjuntivitis química</t>
  </si>
  <si>
    <t>AB1</t>
  </si>
  <si>
    <t>Agentes Biológicos (virus, mohos, hongos, bacterias,</t>
  </si>
  <si>
    <t>Enfermedades infecciosas o parasitarias, intoxicación, alergias</t>
  </si>
  <si>
    <t>AB2</t>
  </si>
  <si>
    <t>SARS COV 2</t>
  </si>
  <si>
    <t>Contagio por COVID</t>
  </si>
  <si>
    <t>Complicaciones respiratorias, gastro-intestinales, renales, muerte.</t>
  </si>
  <si>
    <t>AB3</t>
  </si>
  <si>
    <t>Lesiones de piel, envenenamiento por picadura, transmisión de enfermedades infecciosas por mordedura y exposición, hematomas.</t>
  </si>
  <si>
    <t>AE1</t>
  </si>
  <si>
    <t>Cervicalgia, Dorsalgia, Escoliosis, Síndrome de Túnel Carpiano, Lumbalgias, Bursitis, Cuello u hombro tensos, Dedo engatillado, Epicondilitis, Osteoartritis, Tendinitis, Tenosinovitis, otros trastornos musculo esqueléticos, Fatiga física, cansancio, distención muscular, calambres, contracturas</t>
  </si>
  <si>
    <t>AE2</t>
  </si>
  <si>
    <t>Cervicalgia, Dorsalgia, Escoliosis, Lumbalgias, Bursitis, Cuello u hombro tensos, Epicondilitis, Osteoartritis, Tendinitis, Tenosinovitis, otros trastornos musculo esqueléticos, Fatiga física, cansancio, distención muscular, calambres, contracturas</t>
  </si>
  <si>
    <t>AE3</t>
  </si>
  <si>
    <t>AE4</t>
  </si>
  <si>
    <t>MECÁNICO</t>
  </si>
  <si>
    <t>AM1</t>
  </si>
  <si>
    <t>Vehículos o equipos en Movimiento</t>
  </si>
  <si>
    <t>AM2</t>
  </si>
  <si>
    <t>AM3</t>
  </si>
  <si>
    <t>Fluidos a Presión, Equipo Presurizado</t>
  </si>
  <si>
    <t>AM4</t>
  </si>
  <si>
    <t>(Hidráulica, Neumática)</t>
  </si>
  <si>
    <t>AM5</t>
  </si>
  <si>
    <t>AM9</t>
  </si>
  <si>
    <t>Caída de carga suspendida</t>
  </si>
  <si>
    <t>AM10</t>
  </si>
  <si>
    <t>Contacto con superficies calientes</t>
  </si>
  <si>
    <t>Quemaduras, lesiones a la vista,</t>
  </si>
  <si>
    <t>AM11</t>
  </si>
  <si>
    <t>Contacto por manipulación de herramientas / objetos</t>
  </si>
  <si>
    <t>AP</t>
  </si>
  <si>
    <t>AP1</t>
  </si>
  <si>
    <t>Paralización de ingreso y salidas a in site</t>
  </si>
  <si>
    <t>Ansiedad, depresión, estrés.</t>
  </si>
  <si>
    <t>AP2</t>
  </si>
  <si>
    <t>Sobrecarga de trabajo</t>
  </si>
  <si>
    <t>Ansiedad, depresión, fatiga, estrés, acné</t>
  </si>
  <si>
    <t>AP4</t>
  </si>
  <si>
    <t>Exposición a personas con conductas agresivas</t>
  </si>
  <si>
    <t>Ansiedad, depresión, heridas por agresiones y maltratos, rotación laboral</t>
  </si>
  <si>
    <t>AP5</t>
  </si>
  <si>
    <t>Relaciones laborales</t>
  </si>
  <si>
    <t>Acoso y hostigamiento laboral</t>
  </si>
  <si>
    <t>Ansiedad, depresión, deshumanización</t>
  </si>
  <si>
    <t>AP6</t>
  </si>
  <si>
    <t>Distribución inadecuada de guardia</t>
  </si>
  <si>
    <t>horario de trabajo nocturno</t>
  </si>
  <si>
    <t>Trastornos del sueño (ritmo circadiano), irritabilidad, accidentes por somnolencia, mayor riesgo de depresión, incremento de peso y morbilidad secundaria a aumento de peso.</t>
  </si>
  <si>
    <t>AL8</t>
  </si>
  <si>
    <t>Trabajos sobre cuerpos / cursos de agua</t>
  </si>
  <si>
    <t>AL10</t>
  </si>
  <si>
    <t>AL11</t>
  </si>
  <si>
    <t>Trabajos en altura</t>
  </si>
  <si>
    <t>AL12</t>
  </si>
  <si>
    <t>Espacio Confinado</t>
  </si>
  <si>
    <t>AL13</t>
  </si>
  <si>
    <t>AL14</t>
  </si>
  <si>
    <t>Aberturas en pisos, plataformas, pasillos (open hole)</t>
  </si>
  <si>
    <t>AL15</t>
  </si>
  <si>
    <t>AL16</t>
  </si>
  <si>
    <t>AL17</t>
  </si>
  <si>
    <t>AL18</t>
  </si>
  <si>
    <t>AL19</t>
  </si>
  <si>
    <t>AL20</t>
  </si>
  <si>
    <t>Quemaduras internas o externas de 1er, 2do y 3er grado, parálisis, trastornos cardiovasculares, trastornos nerviosos, trastornos sensoriales-oculares-auditivos, Muerte por paro cardio-respiratorio, asfixia, fibrilación ventricular, daño a la propiedad</t>
  </si>
  <si>
    <t>AL21</t>
  </si>
  <si>
    <t>Aplastamiento por caída de cargas suspendidas</t>
  </si>
  <si>
    <t>AL22</t>
  </si>
  <si>
    <t>AL23</t>
  </si>
  <si>
    <t>AC1</t>
  </si>
  <si>
    <t>AC2</t>
  </si>
  <si>
    <t>Fulguración, muerte</t>
  </si>
  <si>
    <t>AC3</t>
  </si>
  <si>
    <t>AC4</t>
  </si>
  <si>
    <t>O</t>
  </si>
  <si>
    <t>O2</t>
  </si>
  <si>
    <t>O3</t>
  </si>
  <si>
    <t>Fecha</t>
  </si>
  <si>
    <t>Nombre</t>
  </si>
  <si>
    <t>Cargo</t>
  </si>
  <si>
    <t>Firma</t>
  </si>
  <si>
    <t>GERENTE GENERAL</t>
  </si>
  <si>
    <t>Vías en mal estado</t>
  </si>
  <si>
    <t>Exposición a choques o colisiones</t>
  </si>
  <si>
    <r>
      <t>5. EPP adecuado (básico</t>
    </r>
    <r>
      <rPr>
        <b/>
        <sz val="20"/>
        <color theme="1"/>
        <rFont val="Calibri"/>
        <family val="2"/>
        <scheme val="minor"/>
      </rPr>
      <t>*</t>
    </r>
    <r>
      <rPr>
        <sz val="20"/>
        <rFont val="Arial"/>
        <family val="2"/>
      </rPr>
      <t xml:space="preserve"> / específico)</t>
    </r>
  </si>
  <si>
    <t>PROCESAMIENTO DE MINERALES AUIFEROS</t>
  </si>
  <si>
    <t>DESCARGA DE MINERAL</t>
  </si>
  <si>
    <t>Recepción de sacos de mineral</t>
  </si>
  <si>
    <t>Operador de planta</t>
  </si>
  <si>
    <t>Común</t>
  </si>
  <si>
    <t>Ha sucedido</t>
  </si>
  <si>
    <t>Podría suceder</t>
  </si>
  <si>
    <t>Raro que suceda</t>
  </si>
  <si>
    <t>Practicamente imposible que suceda</t>
  </si>
  <si>
    <t>FRECUENCIA</t>
  </si>
  <si>
    <t>Zona de recepción techada y delimitada, con ventilación natural o forzada</t>
  </si>
  <si>
    <t>1.- Procedimiento escrito para recepción segura de sacos de mineral.
2.- Rotación de personal para reducir exposición a polvo y sobreesfuerzo.
3.- Registro y control del peso máximo de los sacos.
4.- Programación de monitoreos ocupacionales (polvo respirable y polvo inhalable)
5.-Adolescentes: prohibido asignarlos a recepción y manipulación de sacos.
6.- Gestantes/lactancia: no exponer a polvo ni carga manual; reubicación.
7.- Discapacidad: evaluación de aptitud y ajustes razonables (ayudas mecánicas).</t>
  </si>
  <si>
    <t xml:space="preserve">1.- Respirador de media cara con filtro P100 para polvos 
2- Uso de casco de seguridad.
</t>
  </si>
  <si>
    <t>Destinar presupuesto para el monitoreo ocupacional</t>
  </si>
  <si>
    <t>Gerente General</t>
  </si>
  <si>
    <t>Anual</t>
  </si>
  <si>
    <t>1. Hidratación constante.                                                                                                     2. Capacitación del golpe de calor.                                                                                      3. Capacitar a los trabajadores en síntomas de estrés térmico: mareos, dolor de cabeza, fatiga, calambres.                                                            4. Establecer puntos de hidratación</t>
  </si>
  <si>
    <t>1. Lentes o sobrelentes oscuros.     
2. Cortaviento o visceras de seguridad.                                                     3. Polo manga larga claro y liviano Bloqueador solar FPS 50+ aplicado cada 2 horas.                                                  4. Guantes y lentes adecuados para radiación solar.</t>
  </si>
  <si>
    <t xml:space="preserve">1.- Uso de casco de seguridad
</t>
  </si>
  <si>
    <t>Descarga de sacos de mineral</t>
  </si>
  <si>
    <t>1.- Sustituir carga manual por ayudas mecánicas (carretillas, transpaletas, fajas transportadoras).</t>
  </si>
  <si>
    <t xml:space="preserve">1.- Procedimiento de manipulación manual de cargas.
2.- Límites de peso según normativa.
3.- Rotación de tareas programada.
4.- Pausas activas obligatorias.
5.- Capacitación en ergonomía aplicada.
6.- Vigilancia médica ocupacional músculo-esquelética.
7.- Registro y seguimiento de TME.
8.- Restricción de tareas disergonómicas a adolescentes.
9.- Reubicación de trabajadoras gestantes/lactantes.
</t>
  </si>
  <si>
    <t>Traslado a zona de almacenamiento</t>
  </si>
  <si>
    <t>1.- Instalación de cintas antideslizantes o recubrimientos rugosos.</t>
  </si>
  <si>
    <t>1.- Procedimiento de orden y limpieza (5S).
2.- Inspecciones periódicas del estado del piso.
3.- Programa de mantenimiento preventivo.
4.- Capacitación en prevención de caídas al mismo nivel.
5.- Restricción de tránsito en áreas con mantenimiento.
6.- Consideración de enfoque de género (calzado adecuado, ritmos de trabajo).
7.- Prohibición de asignación a adolescentes.
8.- Reubicación temporal de trabajadoras gestantes/lactantes.</t>
  </si>
  <si>
    <t>1.- Calzado de seguridad antideslizante
2.- Uso de guantes
3.- Uso de casco de seguridad</t>
  </si>
  <si>
    <t>Vacear sacos a chancadora</t>
  </si>
  <si>
    <t>1.- Sustituir equipos ruidosos por equipos de menor emisión sonora.</t>
  </si>
  <si>
    <t xml:space="preserve">1.- Monitoreo de ruido (dosimetría) anual.
2.- Establecer un procedimiento de trabajo seguro en áreas ruidosas.
3.- Rotación de personal para limitar tiempo de exposición.
4.- Señalización de “Zona de Ruido – Uso obligatorio de protección auditiva”.
5.- Capacitación sobre riesgos del ruido.
6.- Vigilancia médica ocupacional auditiva (audiometrías).
7.- Reubicar gestantes/lactantes.
</t>
  </si>
  <si>
    <t>1.- Tapones auditivos.
2.- Orejeras con atenuación adecuada (NRR).
3.- Protección auditiva doble si los niveles lo requieren.</t>
  </si>
  <si>
    <t xml:space="preserve">1.- Guardas físicas fijas en correas, poleas, ejes y engranajes.
2.- Botón de parada de emergencia accesible.
3.- Barreras físicas que limiten el acceso a partes móviles.
</t>
  </si>
  <si>
    <t>1.- Capacitación específica en riesgos de atrapamiento.
2,. Inspecciones periódicas del estado de guardas.
3.- Autorización solo a personal capacitado.
4.- Prohibición de ropa suelta, joyas o cabello sin sujeción.
5.- Restricción de acceso a adolescentes.</t>
  </si>
  <si>
    <t>1.- Ropa de trabajo ajustada al cuerpo.
2.- Casco de seguridad.</t>
  </si>
  <si>
    <t>Agitación</t>
  </si>
  <si>
    <t>Transportar minerales a agitación</t>
  </si>
  <si>
    <t>Vacear mineral en agitadores</t>
  </si>
  <si>
    <t xml:space="preserve">1.- Procedimiento de trabajo seguro para metales pesados.
2.- Monitoreo ocupacional (metales en aire).
3.- Vigilancia médica ocupacional específica.
4.- Capacitación en riesgos químicos y efectos a la salud.
5.- Prohibición de asignación a adolescentes.
6.- Reubicación inmediata de gestantes/lactantes.
</t>
  </si>
  <si>
    <t xml:space="preserve">1.- Respirador de cara completa con filtros para partículas y vapores metálicos.
2.- Guantes resistentes a sustancias químicas.
3.- Overol impermeable o descartable.
4.- Botas de jebe.
5.- Gafas de seguridad y protector facial.
</t>
  </si>
  <si>
    <t>Vacear mineral en tolvas gravimetricas</t>
  </si>
  <si>
    <t>Levantar quimbalete</t>
  </si>
  <si>
    <t>LOCATIVOS</t>
  </si>
  <si>
    <t>Desplazamiento de vehículo</t>
  </si>
  <si>
    <t>1.- Aplicación escricta del Plan de Vigilancia, prevención y control del covid-19.
2,- Incrementar los cuidados de higienización, aplicando el Protocolo de Lavado correcto de las Manos (Lavarse correctamente las manos con agua y jabón por 20 segundos).
3.- Adoptar medidas de uso de protección respiratoria para personas sospechosas.
4- Preparación y distribución de Recomendaciones de higiene para el tránsito al personal COVID - 19 .
5.-.Sedeberá de contar con una lista actualizada de personal de riesgo y/o vulnerable.
6.-Recomendable contar con esquema de vacunanción completa</t>
  </si>
  <si>
    <t xml:space="preserve">1.- Uso de mascarilla KN95
</t>
  </si>
  <si>
    <t>Conductor
Operador de planta</t>
  </si>
  <si>
    <t xml:space="preserve">1.Check list pre uso de vehículos.
2. Capacitación en manejo Defensivo
3. uso de cinturón de seguridad.
4.- Dormir 6 horas como mínimo.
5.- Capacitación en fatiga y somnolencia
</t>
  </si>
  <si>
    <t>1.- Establecer un límite de horas laborales diarias o semanales, conforme a la normativa.
2.- Rotación de tareas para evitar la fatiga mental y física.
3.- Establecer mecanismos de apoyo emocional para los trabajadores, como líneas de asistencia psicológica o programas de bienestar.
4.- Capacitación en gestión del estrés y técnicas de relajación.
5.- Establecer programa de reconocimiento al personal proactivo en SSO</t>
  </si>
  <si>
    <t>Control de accesos y vigilancia</t>
  </si>
  <si>
    <t>Supervisar ingreso y salida de personal y visitantes.</t>
  </si>
  <si>
    <t>1. Hidratación constante.                                                                                                     2. Capacitación del golpe de calor.                                                                                      3. Capacitar a los trabajadores en síntomas de estrés térmico: mareos, dolor de cabeza, fatiga, calambres.                                                         
 4. Establecer puntos de hidratación</t>
  </si>
  <si>
    <t>Todas la actividades</t>
  </si>
  <si>
    <t>Todas</t>
  </si>
  <si>
    <t>Todos</t>
  </si>
  <si>
    <t>1.-Plan de Emergencias y Evacuación aprobado y difundido.
2.-Procedimiento específico para actuación ante sismos.
3.- Simulacros de sismo periódicos.
5.- Designación y capacitación de brigadas de emergencia.
6.- Mantenimiento de rutas de evacuación despejadas.
7.- Reubicación y apoyo especial a gestantes, lactantes y personas con discapacidad.</t>
  </si>
  <si>
    <t xml:space="preserve">Exposición a gases </t>
  </si>
  <si>
    <t>Agentes Biológicos (virus, mohos, hongos, bacterias, parásitos gastrointestinales, etc.)</t>
  </si>
  <si>
    <t>Exposición a superficies Punzo Cortantes</t>
  </si>
  <si>
    <t>Terreno o Superficies Inestables (Taludes, Superficies, etc.)</t>
  </si>
  <si>
    <t>Estructuras e Instalaciones Inestables (Instalaciones, muros, andamios, escaleras, plataformas, etc.)</t>
  </si>
  <si>
    <t>Subir_y_bajar_escaleras</t>
  </si>
  <si>
    <t>Brazo_hidráulico_del_intercambiador__movimiento_mecánico_bajo_presión__</t>
  </si>
  <si>
    <t>Congestión_o_acción_restringida__accesos_limitados_</t>
  </si>
  <si>
    <t>Ascenso_y_descenso_de_la_unidad_vehicular_utilizando_peldaños_estribo_</t>
  </si>
  <si>
    <t>Basculación_de_contenedores</t>
  </si>
  <si>
    <t>Contenedor_o_cisterna_del_camión_intercambiador_en_movimiento</t>
  </si>
  <si>
    <t>OPERACIONES PLANTA</t>
  </si>
  <si>
    <t>FLOR YARIHUAMAN</t>
  </si>
  <si>
    <t>KEVIN GARCIA</t>
  </si>
  <si>
    <t>JEFE DE OPERACIONES</t>
  </si>
  <si>
    <t xml:space="preserve">LUIS CAMPOS </t>
  </si>
  <si>
    <t>SUPERVISOR SSO</t>
  </si>
  <si>
    <t>-</t>
  </si>
  <si>
    <t>ENCARGADO DE PLANTA</t>
  </si>
  <si>
    <t>&lt;</t>
  </si>
  <si>
    <t>GERENCIA: GERENCIA GENERAL</t>
  </si>
  <si>
    <t>Código: LB-IPERC-SGSSO-MICM-01</t>
  </si>
  <si>
    <t>V04</t>
  </si>
  <si>
    <t>Versión:  04
Área: SEGURIDAD Y SALUD OCUPACIONAL</t>
  </si>
  <si>
    <t>Fecha: 25/03/2026</t>
  </si>
  <si>
    <t>LB-IPERC-SGSSO-MICM-01</t>
  </si>
  <si>
    <t>TRANSPORTE DE MINERAL A LA PLANTA</t>
  </si>
  <si>
    <t xml:space="preserve">Conductor
</t>
  </si>
  <si>
    <t>CHANCADO Y ALIMETACION DE MINERAL</t>
  </si>
  <si>
    <t>Accidente de transito, choque y volcadura</t>
  </si>
  <si>
    <t xml:space="preserve">1.- Respirador de media cara con filtro P100 para polvos 
</t>
  </si>
  <si>
    <t>1. Realizar las actividades en horario diurnos.
2. En caso de transporte de mineral sensible, deberán acudir mínimo dos trabajadores.</t>
  </si>
  <si>
    <t>1. Humedecer los caminos de acceso de forma periódica para eliminar el polvo y mejorar la visibilidad.</t>
  </si>
  <si>
    <t xml:space="preserve">1. Capacitación en Seguridad Vial y/o manejo defensivo
2. Inspección mensual de rutas
3. Paralización de actvidades durante fenomenos naturales
</t>
  </si>
  <si>
    <t>1. Colocación de letreros de velocidad máxima, señales de "Pare" y delimitación de carriles.</t>
  </si>
  <si>
    <t>Capacitación en Postura:
Pausas Activas y Rotación: Implementar descansos para "descomprimir" la columna y realizar ejercicios de estiramiento específicos para la zona lumbar y cuello.
Realizar exámenes periódicos (radiografías o resonancias si es necesario) para detectar de forma temprana lesiones osteomusculares.</t>
  </si>
  <si>
    <t>1. Hidratación constante.
2. Capacitación del golpe de calor.
3. Capacitar a los trabajadores en síntomas de estrés térmico: mareos, dolor de cabeza, fatiga, calambres. 
4. Establecer puntos de hidratación</t>
  </si>
  <si>
    <t>1. Hidratación constante.
2. Capacitación del golpe de calor.           
3. Capacitar a los trabajadores en síntomas de estrés térmico: mareos, dolor de cabeza, fatiga, calambres.                                                          
4. Establecer puntos de hidratación</t>
  </si>
  <si>
    <t>Operación de chancadora</t>
  </si>
  <si>
    <t>Encostalar mineral chancado</t>
  </si>
  <si>
    <t>MOLIENDA DE MINERAL EN MOLINO DE BOLAS</t>
  </si>
  <si>
    <t>Carga, transporte y vaceado de mineral chancado a molinos.</t>
  </si>
  <si>
    <t>Abrir y cerrar tapas de molinos</t>
  </si>
  <si>
    <t>Operacion de molinos</t>
  </si>
  <si>
    <t>Abrir y cambiar tapas</t>
  </si>
  <si>
    <t>Descarga del molino</t>
  </si>
  <si>
    <t>Ensacado y/o acarreo de mineral</t>
  </si>
  <si>
    <t>Concentracion Gravimétrica</t>
  </si>
  <si>
    <t>Disificacion de mercurio en agitadores</t>
  </si>
  <si>
    <t>Carguio/Transportar mineral a tolvas gravimetricas</t>
  </si>
  <si>
    <t>Operación de equipo gravimetrico</t>
  </si>
  <si>
    <t>Operacion de bombas de agua</t>
  </si>
  <si>
    <t>Sistema de proteccion de llave diferencial/ Implementar sistemas de arraque a distancia</t>
  </si>
  <si>
    <t>Uso de guantes dieléctricos (Clase 00 - 500V) / Botas dielectricos (baquelita)</t>
  </si>
  <si>
    <t>Implementacion de tolva de 0.5 ton de capacidad</t>
  </si>
  <si>
    <t>Uso de lentes de malla / Lavaojos</t>
  </si>
  <si>
    <t>1.- Procedimiento Escrito de Trabajo Seguro para la actividad/ Señalizacion de riesgo electrico</t>
  </si>
  <si>
    <t>1.- Procedimiento Escrito de Trabajo Seguro para la actividad</t>
  </si>
  <si>
    <t>1.- Sustituir llaves termomagnéticas por contactor y arranque a distancia</t>
  </si>
  <si>
    <t>1.- Procedimiento Escrito de Trabajo Seguro para la actividad /Capacitación al personal / Señalizar zona de trabajo</t>
  </si>
  <si>
    <t>1.- Uso de guantes dieléctricos</t>
  </si>
  <si>
    <t>AMALGAMACION</t>
  </si>
  <si>
    <t xml:space="preserve">FUNDICION </t>
  </si>
  <si>
    <t>Construir superficies impermeables con canales de drenaje para evitar que el operario trabaje sobre lodo o superficies resbaladizas.</t>
  </si>
  <si>
    <t>SECADO Y TRASPORTE DE RELAVE PARA COMERCIALIZACION</t>
  </si>
  <si>
    <t xml:space="preserve">1.-Rotación de personal: Limitar el tiempo que el trabajador está expuesto a ambientes saturados de humedad para prevenir problemas dermatológicos o reumáticos.
2.- Señalización: Advertir sobre suelos resbaladizos y zonas de acumulación de agua.
</t>
  </si>
  <si>
    <t>1.- Uso de Botas de jebe: Con suela antideslizante y punta de acero para trabajar en zonas mojadas.
2.-Uso de Guantes de nitrilo/neopreno largos</t>
  </si>
  <si>
    <t>Amalgamar concetrado en quimbalete.</t>
  </si>
  <si>
    <t>1.- Uso de retortas con tubos condensadores sumergidos en agua para asegurar que el vapor de mercurio vuelva a estado líquido y no escape
2.- Hermeticidad: Asegurar el sellado perfecto de la tapa de la retorta (usando empaques adecuados o arcilla) para evitar fugas durante el calentamiento</t>
  </si>
  <si>
    <t>1.- Uso de respierador cara completa con filtro para vapores de mercurio
2.- Guantes resistentes a sustancias quimicas.
3.- Lentes de seguridad con proteccion lateral.</t>
  </si>
  <si>
    <t>REFOGADO EN RETORTA PRIMARIA (uso de soplete)</t>
  </si>
  <si>
    <t>Recojo y ahorcado de amalgama</t>
  </si>
  <si>
    <t>Automatización del proceso en hornos cerrados</t>
  </si>
  <si>
    <t>1. Hidratación constante.                                                                                                     2.- Instalación de barreras o protecciones térmicas alrededor de la fuente de calor.
3. Uso de pinzas largas y herramientas de manipulación diseñadas específicamente para el tamaño de la retorta.
4. Señalización de "Superficie Caliente".
5. Delimitación del área de trabajo para evitar el paso de personas ajenas durante el refogado.
5. Capacitación sobre las distancias de seguridad y la técnica correcta de manipulación de materiales fundidos.</t>
  </si>
  <si>
    <t>1. Guantes Aluminizados o de Kevlar: 
2. Mandil de Cuero Cromo o Aluminizado
3. Careta Facial de Policarbonato
4. Calzado de Seguridad con Suela de Nitrilo</t>
  </si>
  <si>
    <t xml:space="preserve">1. Válvulas Antirretorno (Arrestallamas)
2. Almacenamiento Segregado: Separar cilindros de oxígeno de los de gases inflamables (acetileno/propano) por una distancia mínima de 6 metros
3. Sistemas de Sujeción
</t>
  </si>
  <si>
    <t>1. Inspección de Fugas: Realizar pruebas con agua jabonosa (nunca con llama) en todas las conexiones antes de iniciar el trabajo.
2. Permisos de Trabajo en Caliente: Obligatorios para cualquier operación que involucre estos gases.
3. Hojas de Datos de Seguridad (HDS/MSDS): Disponibles y visibles para cada tipo de gas.
4.Código de Colores en los cilindros</t>
  </si>
  <si>
    <t>1. Protección Visual: Goggles o caretas con filtros de sombra adecuados (grado 4 a 6 para oxicorte).
2. Guantes de Cuero tipo Mosquetero: Para manipulación de cilindros y protección térmica.
3. Ropa de Algodón o Cuero: Evitar fibras sintéticas que se funden con el calor o chispas.
4. Zapatos de Seguridad Dieléctricos: Con puntera de protección ante posibles caídas de cilindros.</t>
  </si>
  <si>
    <t>Fundición (Uso de borax)</t>
  </si>
  <si>
    <t>1.- Monitoreo de Higiene Ocupacional ( agentes quimicos, metales emn aire).
2.- Plan de Vigilancia Medica
3.- Procedimiento Escrito de Trabajo Seguro para la actividad 
4.- Capacitación al personal riesgos quimicos y efectos a la salud
5.- Procedimiento de inspección de fugas previo al calentamiento (prueba de presión simple).
7.- Prohibición de asignación a adolescentes.
8.- Reubicación temporal de trabajadoras gestantes/lactantes.</t>
  </si>
  <si>
    <t xml:space="preserve">
6.- Consideración de enfoque de género (calzado adecuado, ritmos de trabajo).
7.- Prohibición de asignación a adolescentes.
8.- Reubicación inmediata de gestantes/lactantes.</t>
  </si>
  <si>
    <t>SUPERVISOR DE SSO</t>
  </si>
  <si>
    <t>REPRESENTANTE DEL CSST - EMPLEADORA</t>
  </si>
  <si>
    <t>REPRESENTANTE DEL CSST - TRABAJADORA</t>
  </si>
  <si>
    <t>VLADIMIIR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</si>
</sst>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0"/>
      <name val="Arial"/>
    </font>
    <font>
      <sz val="11"/>
      <color theme="1"/>
      <name val="Calibri"/>
      <family val="2"/>
      <scheme val="minor"/>
    </font>
    <font>
      <sz val="10"/>
      <name val="Arial"/>
      <family val="2"/>
    </font>
    <font>
      <sz val="10"/>
      <name val="Arial"/>
      <family val="2"/>
    </font>
    <font>
      <sz val="10"/>
      <color theme="1"/>
      <name val="Segoe UI"/>
      <family val="2"/>
    </font>
    <font>
      <sz val="10"/>
      <color theme="1"/>
      <name val="Arial"/>
      <family val="2"/>
    </font>
    <font>
      <b/>
      <sz val="16"/>
      <color theme="1"/>
      <name val="Arial"/>
      <family val="2"/>
    </font>
    <font>
      <b/>
      <sz val="11"/>
      <color rgb="FFFF0000"/>
      <name val="Arial"/>
      <family val="2"/>
    </font>
    <font>
      <b/>
      <sz val="10"/>
      <color theme="1"/>
      <name val="Arial"/>
      <family val="2"/>
    </font>
    <font>
      <b/>
      <sz val="11"/>
      <color theme="0"/>
      <name val="Arial"/>
      <family val="2"/>
    </font>
    <font>
      <b/>
      <sz val="11"/>
      <color theme="1"/>
      <name val="Arial"/>
      <family val="2"/>
    </font>
    <font>
      <b/>
      <sz val="10"/>
      <color rgb="FFFF0000"/>
      <name val="Arial"/>
      <family val="2"/>
    </font>
    <font>
      <b/>
      <sz val="14"/>
      <color theme="1"/>
      <name val="Arial"/>
      <family val="2"/>
    </font>
    <font>
      <sz val="11"/>
      <color theme="0"/>
      <name val="Calibri"/>
      <family val="2"/>
      <scheme val="minor"/>
    </font>
    <font>
      <b/>
      <sz val="10"/>
      <name val="Arial"/>
      <family val="2"/>
    </font>
    <font>
      <sz val="12"/>
      <name val="Arial"/>
      <family val="2"/>
    </font>
    <font>
      <b/>
      <sz val="12"/>
      <name val="Arial"/>
      <family val="2"/>
    </font>
    <font>
      <b/>
      <sz val="14"/>
      <color theme="0"/>
      <name val="Arial"/>
      <family val="2"/>
    </font>
    <font>
      <b/>
      <sz val="9"/>
      <name val="Arial"/>
      <family val="2"/>
    </font>
    <font>
      <sz val="9"/>
      <name val="Arial"/>
      <family val="2"/>
    </font>
    <font>
      <sz val="9"/>
      <color rgb="FF000000"/>
      <name val="Arial"/>
      <family val="2"/>
    </font>
    <font>
      <sz val="8"/>
      <name val="Arial"/>
      <family val="2"/>
    </font>
    <font>
      <b/>
      <sz val="9"/>
      <color theme="0"/>
      <name val="Arial"/>
      <family val="2"/>
    </font>
    <font>
      <sz val="8"/>
      <name val="Arial"/>
      <family val="2"/>
    </font>
    <font>
      <b/>
      <sz val="9"/>
      <color indexed="81"/>
      <name val="Tahoma"/>
      <family val="2"/>
    </font>
    <font>
      <u/>
      <sz val="9"/>
      <color rgb="FF000000"/>
      <name val="Arial"/>
      <family val="2"/>
    </font>
    <font>
      <b/>
      <sz val="12"/>
      <name val="Segoe UI"/>
      <family val="2"/>
    </font>
    <font>
      <sz val="12"/>
      <name val="Segoe UI"/>
      <family val="2"/>
    </font>
    <font>
      <sz val="12"/>
      <color theme="1"/>
      <name val="Arial"/>
      <family val="2"/>
    </font>
    <font>
      <b/>
      <sz val="12"/>
      <name val="Calibri"/>
      <family val="2"/>
      <scheme val="minor"/>
    </font>
    <font>
      <b/>
      <sz val="12"/>
      <color theme="1" tint="0.14999847407452621"/>
      <name val="Segoe UI"/>
      <family val="2"/>
    </font>
    <font>
      <b/>
      <sz val="12"/>
      <color indexed="9"/>
      <name val="Segoe UI"/>
      <family val="2"/>
    </font>
    <font>
      <sz val="12"/>
      <color theme="1" tint="0.14999847407452621"/>
      <name val="Segoe UI"/>
      <family val="2"/>
    </font>
    <font>
      <sz val="16"/>
      <name val="Arial"/>
      <family val="2"/>
    </font>
    <font>
      <sz val="9"/>
      <color rgb="FF000000"/>
      <name val="Arial"/>
      <family val="2"/>
    </font>
    <font>
      <sz val="9"/>
      <name val="Arial"/>
      <family val="2"/>
    </font>
    <font>
      <sz val="16"/>
      <name val="Segoe UI"/>
      <family val="2"/>
    </font>
    <font>
      <b/>
      <sz val="16"/>
      <color indexed="9"/>
      <name val="Segoe UI"/>
      <family val="2"/>
    </font>
    <font>
      <b/>
      <sz val="12"/>
      <color theme="0"/>
      <name val="Arial"/>
      <family val="2"/>
    </font>
    <font>
      <b/>
      <sz val="16"/>
      <color theme="0"/>
      <name val="Arial"/>
      <family val="2"/>
    </font>
    <font>
      <b/>
      <sz val="16"/>
      <color theme="0"/>
      <name val="Calibri"/>
      <family val="2"/>
      <scheme val="minor"/>
    </font>
    <font>
      <sz val="18"/>
      <color theme="1" tint="0.14999847407452621"/>
      <name val="Segoe UI"/>
      <family val="2"/>
    </font>
    <font>
      <b/>
      <sz val="10"/>
      <color rgb="FF000000"/>
      <name val="Arial"/>
      <family val="2"/>
    </font>
    <font>
      <b/>
      <sz val="10"/>
      <color rgb="FFFFFFFF"/>
      <name val="Arial"/>
      <family val="2"/>
    </font>
    <font>
      <sz val="10"/>
      <color rgb="FF000000"/>
      <name val="Arial"/>
      <family val="2"/>
    </font>
    <font>
      <sz val="14"/>
      <color theme="1"/>
      <name val="Arial"/>
      <family val="2"/>
    </font>
    <font>
      <b/>
      <sz val="20"/>
      <color theme="1"/>
      <name val="Arial"/>
      <family val="2"/>
    </font>
    <font>
      <sz val="20"/>
      <name val="Arial"/>
      <family val="2"/>
    </font>
    <font>
      <b/>
      <sz val="18"/>
      <color theme="0"/>
      <name val="Arial"/>
      <family val="2"/>
    </font>
    <font>
      <sz val="20"/>
      <name val="Calibri"/>
      <family val="2"/>
      <scheme val="minor"/>
    </font>
    <font>
      <sz val="18"/>
      <name val="Segoe UI"/>
      <family val="2"/>
    </font>
    <font>
      <b/>
      <sz val="20"/>
      <color theme="0"/>
      <name val="Calibri"/>
      <family val="2"/>
      <scheme val="minor"/>
    </font>
    <font>
      <b/>
      <sz val="20"/>
      <color theme="1"/>
      <name val="Calibri"/>
      <family val="2"/>
      <scheme val="minor"/>
    </font>
    <font>
      <sz val="22"/>
      <color theme="1"/>
      <name val="Arial"/>
      <family val="2"/>
    </font>
    <font>
      <b/>
      <sz val="20"/>
      <name val="Arial"/>
      <family val="2"/>
    </font>
    <font>
      <b/>
      <sz val="20"/>
      <color theme="1" tint="0.14999847407452621"/>
      <name val="Arial"/>
      <family val="2"/>
    </font>
    <font>
      <sz val="24"/>
      <name val="Arial"/>
      <family val="2"/>
    </font>
    <font>
      <sz val="24"/>
      <color theme="1"/>
      <name val="Arial"/>
      <family val="2"/>
    </font>
    <font>
      <sz val="24"/>
      <name val="Segoe UI"/>
      <family val="2"/>
    </font>
    <font>
      <b/>
      <sz val="36"/>
      <color theme="1"/>
      <name val="Arial"/>
      <family val="2"/>
    </font>
    <font>
      <sz val="14"/>
      <name val="Arial"/>
      <family val="2"/>
    </font>
    <font>
      <b/>
      <sz val="28"/>
      <name val="Arial"/>
      <family val="2"/>
    </font>
    <font>
      <sz val="24"/>
      <color rgb="FF000000"/>
      <name val="Arial"/>
      <family val="2"/>
    </font>
    <font>
      <sz val="24"/>
      <color rgb="FF0A0A0A"/>
      <name val="Arial"/>
      <family val="2"/>
    </font>
    <font>
      <sz val="24"/>
      <color rgb="FFFF0000"/>
      <name val="Arial"/>
      <family val="2"/>
    </font>
  </fonts>
  <fills count="16">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indexed="9"/>
        <bgColor indexed="64"/>
      </patternFill>
    </fill>
    <fill>
      <patternFill patternType="solid">
        <fgColor rgb="FFFFFFFF"/>
        <bgColor indexed="64"/>
      </patternFill>
    </fill>
    <fill>
      <patternFill patternType="solid">
        <fgColor rgb="FF2D649B"/>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99FFCC"/>
        <bgColor indexed="64"/>
      </patternFill>
    </fill>
    <fill>
      <patternFill patternType="solid">
        <fgColor rgb="FFFF99FF"/>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indexed="64"/>
      </right>
      <top style="medium">
        <color indexed="64"/>
      </top>
      <bottom/>
      <diagonal/>
    </border>
    <border>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s>
  <cellStyleXfs count="6">
    <xf numFmtId="0" fontId="0" fillId="0" borderId="0"/>
    <xf numFmtId="0" fontId="3" fillId="0" borderId="0"/>
    <xf numFmtId="0" fontId="4" fillId="0" borderId="0"/>
    <xf numFmtId="0" fontId="2" fillId="0" borderId="0"/>
    <xf numFmtId="0" fontId="2" fillId="0" borderId="0"/>
    <xf numFmtId="0" fontId="1" fillId="0" borderId="0"/>
  </cellStyleXfs>
  <cellXfs count="333">
    <xf numFmtId="0" fontId="0" fillId="0" borderId="0" xfId="0"/>
    <xf numFmtId="0" fontId="1" fillId="2" borderId="0" xfId="5" applyFill="1"/>
    <xf numFmtId="0" fontId="1" fillId="0" borderId="0" xfId="5"/>
    <xf numFmtId="0" fontId="7" fillId="2" borderId="1" xfId="5" applyFont="1" applyFill="1" applyBorder="1" applyAlignment="1">
      <alignment horizontal="center" vertical="center"/>
    </xf>
    <xf numFmtId="0" fontId="8" fillId="2" borderId="1" xfId="5" applyFont="1" applyFill="1" applyBorder="1" applyAlignment="1">
      <alignment horizontal="center" vertical="center"/>
    </xf>
    <xf numFmtId="0" fontId="9" fillId="3" borderId="1" xfId="5" applyFont="1" applyFill="1" applyBorder="1" applyAlignment="1">
      <alignment horizontal="center" vertical="center" wrapText="1"/>
    </xf>
    <xf numFmtId="0" fontId="10" fillId="4" borderId="1" xfId="5" applyFont="1" applyFill="1" applyBorder="1" applyAlignment="1">
      <alignment horizontal="center" vertical="center" wrapText="1"/>
    </xf>
    <xf numFmtId="0" fontId="11" fillId="2" borderId="1" xfId="5" applyFont="1" applyFill="1" applyBorder="1" applyAlignment="1">
      <alignment horizontal="center" vertical="center" wrapText="1"/>
    </xf>
    <xf numFmtId="0" fontId="5" fillId="2" borderId="1" xfId="5" applyFont="1" applyFill="1" applyBorder="1" applyAlignment="1">
      <alignment vertical="center" wrapText="1"/>
    </xf>
    <xf numFmtId="0" fontId="10" fillId="5" borderId="1" xfId="5" applyFont="1" applyFill="1" applyBorder="1" applyAlignment="1">
      <alignment horizontal="center" vertical="center" wrapText="1"/>
    </xf>
    <xf numFmtId="0" fontId="5" fillId="2" borderId="1" xfId="5" applyFont="1" applyFill="1" applyBorder="1" applyAlignment="1">
      <alignment horizontal="left" vertical="center" wrapText="1"/>
    </xf>
    <xf numFmtId="0" fontId="11" fillId="0" borderId="1" xfId="5" applyFont="1" applyBorder="1" applyAlignment="1">
      <alignment horizontal="center" vertical="center" wrapText="1"/>
    </xf>
    <xf numFmtId="0" fontId="1" fillId="2" borderId="0" xfId="5" applyFill="1" applyAlignment="1">
      <alignment wrapText="1"/>
    </xf>
    <xf numFmtId="0" fontId="5" fillId="2" borderId="0" xfId="5" applyFont="1" applyFill="1" applyAlignment="1">
      <alignment vertical="center" wrapText="1"/>
    </xf>
    <xf numFmtId="0" fontId="10" fillId="2" borderId="1" xfId="5" applyFont="1" applyFill="1" applyBorder="1" applyAlignment="1">
      <alignment horizontal="center" vertical="center" wrapText="1"/>
    </xf>
    <xf numFmtId="0" fontId="12" fillId="2" borderId="1" xfId="5" applyFont="1" applyFill="1" applyBorder="1" applyAlignment="1">
      <alignment horizontal="center" vertical="center" wrapText="1"/>
    </xf>
    <xf numFmtId="0" fontId="13" fillId="2" borderId="0" xfId="5" applyFont="1" applyFill="1"/>
    <xf numFmtId="0" fontId="2" fillId="0" borderId="1" xfId="5" applyFont="1" applyBorder="1" applyAlignment="1">
      <alignment horizontal="center" vertical="center" wrapText="1"/>
    </xf>
    <xf numFmtId="0" fontId="14" fillId="2" borderId="1" xfId="5" applyFont="1" applyFill="1" applyBorder="1" applyAlignment="1">
      <alignment horizontal="center" vertical="center" wrapText="1"/>
    </xf>
    <xf numFmtId="0" fontId="15" fillId="0" borderId="0" xfId="0" applyFont="1" applyAlignment="1">
      <alignment horizontal="center"/>
    </xf>
    <xf numFmtId="0" fontId="15" fillId="0" borderId="0" xfId="0" applyFont="1"/>
    <xf numFmtId="0" fontId="16" fillId="0" borderId="0" xfId="0" applyFont="1" applyAlignment="1">
      <alignment horizontal="left" vertical="center"/>
    </xf>
    <xf numFmtId="14" fontId="15" fillId="0" borderId="0" xfId="0" applyNumberFormat="1" applyFont="1" applyAlignment="1">
      <alignment horizontal="center"/>
    </xf>
    <xf numFmtId="0" fontId="15" fillId="0" borderId="0" xfId="0" applyFont="1" applyAlignment="1">
      <alignment horizontal="left"/>
    </xf>
    <xf numFmtId="0" fontId="17" fillId="2" borderId="1" xfId="5" applyFont="1" applyFill="1" applyBorder="1" applyAlignment="1">
      <alignment horizontal="center" vertical="center" wrapText="1"/>
    </xf>
    <xf numFmtId="0" fontId="19" fillId="6" borderId="0" xfId="0" applyFont="1" applyFill="1"/>
    <xf numFmtId="0" fontId="19" fillId="0" borderId="0" xfId="0" applyFont="1"/>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0" fontId="19" fillId="2" borderId="1" xfId="0" applyFont="1" applyFill="1" applyBorder="1" applyAlignment="1">
      <alignment horizontal="center" vertical="center" wrapText="1"/>
    </xf>
    <xf numFmtId="0" fontId="19" fillId="6" borderId="0" xfId="0" applyFont="1" applyFill="1" applyAlignment="1">
      <alignment vertical="center"/>
    </xf>
    <xf numFmtId="0" fontId="19" fillId="0" borderId="0" xfId="0" applyFont="1" applyAlignment="1">
      <alignment vertical="center"/>
    </xf>
    <xf numFmtId="0" fontId="18" fillId="2" borderId="1" xfId="0" applyFont="1" applyFill="1" applyBorder="1" applyAlignment="1">
      <alignment horizontal="center" vertical="center" wrapText="1"/>
    </xf>
    <xf numFmtId="0" fontId="19" fillId="0" borderId="0" xfId="0" applyFont="1" applyAlignment="1">
      <alignment horizontal="left"/>
    </xf>
    <xf numFmtId="0" fontId="22" fillId="8" borderId="1" xfId="0" applyFont="1" applyFill="1" applyBorder="1" applyAlignment="1">
      <alignment horizontal="center" vertical="center" wrapText="1"/>
    </xf>
    <xf numFmtId="0" fontId="20" fillId="7" borderId="1" xfId="0" applyFont="1" applyFill="1" applyBorder="1" applyAlignment="1">
      <alignment vertical="center" wrapText="1"/>
    </xf>
    <xf numFmtId="0" fontId="19" fillId="0" borderId="1" xfId="0" applyFont="1" applyBorder="1" applyAlignment="1">
      <alignment vertical="center" wrapText="1"/>
    </xf>
    <xf numFmtId="0" fontId="19" fillId="2" borderId="1" xfId="0" applyFont="1" applyFill="1" applyBorder="1" applyAlignment="1">
      <alignment vertical="center" wrapText="1"/>
    </xf>
    <xf numFmtId="0" fontId="19" fillId="0" borderId="1" xfId="0" applyFont="1" applyBorder="1" applyAlignment="1">
      <alignment vertical="center"/>
    </xf>
    <xf numFmtId="0" fontId="20" fillId="7" borderId="1" xfId="0" applyFont="1" applyFill="1" applyBorder="1" applyAlignment="1">
      <alignment horizontal="left" vertical="center" wrapText="1"/>
    </xf>
    <xf numFmtId="0" fontId="19" fillId="0" borderId="1" xfId="0" applyFont="1" applyBorder="1" applyAlignment="1">
      <alignment horizontal="left" vertical="center" wrapText="1"/>
    </xf>
    <xf numFmtId="0" fontId="19" fillId="2" borderId="1" xfId="0" applyFont="1" applyFill="1" applyBorder="1" applyAlignment="1">
      <alignment horizontal="left" vertical="center" wrapText="1"/>
    </xf>
    <xf numFmtId="0" fontId="20" fillId="2" borderId="1" xfId="0" applyFont="1" applyFill="1" applyBorder="1" applyAlignment="1">
      <alignment horizontal="left" vertical="center" wrapText="1"/>
    </xf>
    <xf numFmtId="0" fontId="20" fillId="7" borderId="10" xfId="0" applyFont="1" applyFill="1" applyBorder="1" applyAlignment="1">
      <alignment horizontal="left" vertical="center" wrapText="1"/>
    </xf>
    <xf numFmtId="0" fontId="20" fillId="7" borderId="2"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19" fillId="6" borderId="2" xfId="0" applyFont="1" applyFill="1" applyBorder="1" applyAlignment="1">
      <alignment horizontal="center" vertical="center"/>
    </xf>
    <xf numFmtId="0" fontId="19" fillId="0" borderId="2" xfId="0" applyFont="1" applyBorder="1" applyAlignment="1">
      <alignment horizontal="center" vertical="center" wrapText="1"/>
    </xf>
    <xf numFmtId="0" fontId="19" fillId="0" borderId="2" xfId="0" applyFont="1" applyBorder="1" applyAlignment="1">
      <alignment horizontal="center" vertical="center"/>
    </xf>
    <xf numFmtId="0" fontId="22" fillId="8" borderId="23" xfId="0" applyFont="1" applyFill="1" applyBorder="1" applyAlignment="1">
      <alignment horizontal="center" vertical="center" wrapText="1"/>
    </xf>
    <xf numFmtId="0" fontId="22" fillId="8" borderId="19" xfId="0" applyFont="1" applyFill="1" applyBorder="1" applyAlignment="1">
      <alignment horizontal="center" vertical="center" wrapText="1"/>
    </xf>
    <xf numFmtId="0" fontId="22" fillId="8" borderId="22" xfId="0" applyFont="1" applyFill="1" applyBorder="1" applyAlignment="1">
      <alignment horizontal="center" vertical="center" wrapText="1"/>
    </xf>
    <xf numFmtId="0" fontId="19" fillId="0" borderId="1" xfId="0" applyFont="1" applyBorder="1" applyAlignment="1">
      <alignment horizontal="center" vertical="center"/>
    </xf>
    <xf numFmtId="0" fontId="19" fillId="0" borderId="1" xfId="0" applyFont="1" applyBorder="1"/>
    <xf numFmtId="0" fontId="16" fillId="2" borderId="0" xfId="0" applyFont="1" applyFill="1" applyAlignment="1">
      <alignment horizontal="left" vertical="center" wrapText="1"/>
    </xf>
    <xf numFmtId="0" fontId="25" fillId="7" borderId="10" xfId="0" applyFont="1" applyFill="1" applyBorder="1" applyAlignment="1">
      <alignment horizontal="left" vertical="center" wrapText="1"/>
    </xf>
    <xf numFmtId="0" fontId="26" fillId="0" borderId="0" xfId="0" applyFont="1" applyAlignment="1">
      <alignment horizontal="center"/>
    </xf>
    <xf numFmtId="0" fontId="27" fillId="0" borderId="0" xfId="0" applyFont="1"/>
    <xf numFmtId="0" fontId="27" fillId="0" borderId="0" xfId="0" applyFont="1" applyAlignment="1">
      <alignment horizontal="center"/>
    </xf>
    <xf numFmtId="0" fontId="27" fillId="0" borderId="0" xfId="0" applyFont="1" applyAlignment="1">
      <alignment horizontal="center" vertical="center"/>
    </xf>
    <xf numFmtId="0" fontId="26" fillId="0" borderId="0" xfId="0" applyFont="1" applyAlignment="1">
      <alignment horizontal="center" vertical="center" wrapText="1"/>
    </xf>
    <xf numFmtId="0" fontId="27" fillId="0" borderId="0" xfId="0" applyFont="1" applyAlignment="1">
      <alignment horizontal="center" vertical="center" wrapText="1"/>
    </xf>
    <xf numFmtId="0" fontId="28" fillId="2" borderId="0" xfId="0" applyFont="1" applyFill="1"/>
    <xf numFmtId="0" fontId="31" fillId="0" borderId="0" xfId="0" applyFont="1" applyAlignment="1">
      <alignment horizontal="center" vertical="center"/>
    </xf>
    <xf numFmtId="0" fontId="31" fillId="0" borderId="0" xfId="0" applyFont="1" applyAlignment="1">
      <alignment horizontal="left" vertical="center"/>
    </xf>
    <xf numFmtId="0" fontId="30" fillId="2" borderId="0" xfId="0" applyFont="1" applyFill="1" applyAlignment="1">
      <alignment horizontal="center" vertical="center"/>
    </xf>
    <xf numFmtId="0" fontId="32" fillId="2" borderId="0" xfId="0" applyFont="1" applyFill="1" applyAlignment="1">
      <alignment vertical="center"/>
    </xf>
    <xf numFmtId="0" fontId="30" fillId="2" borderId="0" xfId="0" applyFont="1" applyFill="1" applyAlignment="1">
      <alignment vertical="center"/>
    </xf>
    <xf numFmtId="0" fontId="30" fillId="2" borderId="0" xfId="0" applyFont="1" applyFill="1" applyAlignment="1">
      <alignment horizontal="center" vertical="center" wrapText="1"/>
    </xf>
    <xf numFmtId="0" fontId="32" fillId="2" borderId="0" xfId="0" applyFont="1" applyFill="1" applyAlignment="1">
      <alignment vertical="top" wrapText="1"/>
    </xf>
    <xf numFmtId="14" fontId="27" fillId="0" borderId="0" xfId="0" applyNumberFormat="1" applyFont="1" applyAlignment="1">
      <alignment horizontal="center"/>
    </xf>
    <xf numFmtId="0" fontId="32" fillId="2" borderId="1" xfId="0" applyFont="1" applyFill="1" applyBorder="1" applyAlignment="1" applyProtection="1">
      <alignment horizontal="center" vertical="center" wrapText="1"/>
      <protection locked="0"/>
    </xf>
    <xf numFmtId="0" fontId="32" fillId="2" borderId="0" xfId="0" applyFont="1" applyFill="1" applyAlignment="1">
      <alignment vertical="center" wrapText="1"/>
    </xf>
    <xf numFmtId="0" fontId="29" fillId="2" borderId="0" xfId="0" applyFont="1" applyFill="1" applyAlignment="1" applyProtection="1">
      <alignment horizontal="left" vertical="center" wrapText="1"/>
      <protection locked="0"/>
    </xf>
    <xf numFmtId="0" fontId="27" fillId="0" borderId="1" xfId="0" applyFont="1" applyBorder="1"/>
    <xf numFmtId="0" fontId="32" fillId="2" borderId="1" xfId="0" applyFont="1" applyFill="1" applyBorder="1" applyAlignment="1" applyProtection="1">
      <alignment horizontal="left" vertical="center" wrapText="1"/>
      <protection locked="0"/>
    </xf>
    <xf numFmtId="0" fontId="16" fillId="0" borderId="0" xfId="0" applyFont="1" applyAlignment="1">
      <alignment horizontal="center" vertical="center"/>
    </xf>
    <xf numFmtId="0" fontId="27" fillId="0" borderId="0" xfId="0" applyFont="1" applyAlignment="1">
      <alignment vertical="center"/>
    </xf>
    <xf numFmtId="0" fontId="27" fillId="0" borderId="1" xfId="0" applyFont="1" applyBorder="1" applyAlignment="1">
      <alignment vertical="center"/>
    </xf>
    <xf numFmtId="0" fontId="19" fillId="4" borderId="1" xfId="0" applyFont="1" applyFill="1" applyBorder="1" applyAlignment="1">
      <alignment horizontal="left" vertical="center" wrapText="1"/>
    </xf>
    <xf numFmtId="0" fontId="16" fillId="0" borderId="0" xfId="0" applyFont="1" applyAlignment="1">
      <alignment horizontal="left" vertical="center" wrapText="1"/>
    </xf>
    <xf numFmtId="0" fontId="2" fillId="0" borderId="0" xfId="0" applyFont="1"/>
    <xf numFmtId="0" fontId="32" fillId="2" borderId="0" xfId="0" applyFont="1" applyFill="1" applyAlignment="1">
      <alignment horizontal="center" vertical="center" wrapText="1"/>
    </xf>
    <xf numFmtId="0" fontId="19" fillId="0" borderId="1" xfId="0" applyFont="1" applyBorder="1" applyAlignment="1">
      <alignment wrapText="1"/>
    </xf>
    <xf numFmtId="0" fontId="34" fillId="7" borderId="10" xfId="0" applyFont="1" applyFill="1" applyBorder="1" applyAlignment="1">
      <alignment horizontal="left" vertical="center" wrapText="1"/>
    </xf>
    <xf numFmtId="0" fontId="35" fillId="0" borderId="1" xfId="0" applyFont="1" applyBorder="1" applyAlignment="1">
      <alignment horizontal="left" vertical="center" wrapText="1"/>
    </xf>
    <xf numFmtId="0" fontId="35" fillId="0" borderId="2" xfId="0" applyFont="1" applyBorder="1" applyAlignment="1">
      <alignment horizontal="center" vertical="center"/>
    </xf>
    <xf numFmtId="0" fontId="36" fillId="0" borderId="0" xfId="0" applyFont="1" applyAlignment="1">
      <alignment horizontal="center" vertical="center"/>
    </xf>
    <xf numFmtId="0" fontId="37" fillId="0" borderId="0" xfId="0" applyFont="1" applyAlignment="1">
      <alignment horizontal="center" vertical="center"/>
    </xf>
    <xf numFmtId="0" fontId="15" fillId="0" borderId="0" xfId="0" applyFont="1" applyAlignment="1">
      <alignment vertical="center" wrapText="1"/>
    </xf>
    <xf numFmtId="0" fontId="36" fillId="0" borderId="0" xfId="0" applyFont="1" applyAlignment="1">
      <alignment horizontal="center" vertical="center" wrapText="1"/>
    </xf>
    <xf numFmtId="0" fontId="32" fillId="2" borderId="0" xfId="0" applyFont="1" applyFill="1" applyAlignment="1" applyProtection="1">
      <alignment horizontal="left" vertical="center" wrapText="1"/>
      <protection locked="0"/>
    </xf>
    <xf numFmtId="0" fontId="32" fillId="2" borderId="0" xfId="0" applyFont="1" applyFill="1" applyAlignment="1" applyProtection="1">
      <alignment vertical="top" wrapText="1"/>
      <protection locked="0"/>
    </xf>
    <xf numFmtId="0" fontId="27" fillId="0" borderId="18" xfId="0" applyFont="1" applyBorder="1"/>
    <xf numFmtId="0" fontId="38" fillId="11" borderId="1" xfId="0" applyFont="1" applyFill="1" applyBorder="1" applyAlignment="1">
      <alignment horizontal="center" vertical="center"/>
    </xf>
    <xf numFmtId="0" fontId="43" fillId="8" borderId="29" xfId="0" applyFont="1" applyFill="1" applyBorder="1" applyAlignment="1">
      <alignment horizontal="center" vertical="center" wrapText="1"/>
    </xf>
    <xf numFmtId="0" fontId="43" fillId="8" borderId="30" xfId="0" applyFont="1" applyFill="1" applyBorder="1" applyAlignment="1">
      <alignment horizontal="center" vertical="center" wrapText="1"/>
    </xf>
    <xf numFmtId="0" fontId="44" fillId="7" borderId="17" xfId="0" applyFont="1" applyFill="1" applyBorder="1" applyAlignment="1">
      <alignment horizontal="center" vertical="center" wrapText="1"/>
    </xf>
    <xf numFmtId="0" fontId="44" fillId="0" borderId="17" xfId="0" applyFont="1" applyBorder="1" applyAlignment="1">
      <alignment vertical="center" wrapText="1"/>
    </xf>
    <xf numFmtId="0" fontId="5" fillId="0" borderId="17" xfId="0" applyFont="1" applyBorder="1" applyAlignment="1">
      <alignment vertical="center" wrapText="1"/>
    </xf>
    <xf numFmtId="0" fontId="5" fillId="0" borderId="17" xfId="0" applyFont="1" applyBorder="1" applyAlignment="1">
      <alignment horizontal="center" vertical="center" wrapText="1"/>
    </xf>
    <xf numFmtId="0" fontId="44" fillId="0" borderId="14" xfId="0" applyFont="1" applyBorder="1" applyAlignment="1">
      <alignment vertical="center" wrapText="1"/>
    </xf>
    <xf numFmtId="0" fontId="5" fillId="0" borderId="14" xfId="0" applyFont="1" applyBorder="1" applyAlignment="1">
      <alignment horizontal="center" vertical="center" wrapText="1"/>
    </xf>
    <xf numFmtId="0" fontId="44" fillId="0" borderId="17"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17" xfId="0" applyFont="1" applyBorder="1" applyAlignment="1">
      <alignment horizontal="center" vertical="center"/>
    </xf>
    <xf numFmtId="0" fontId="5" fillId="0" borderId="14" xfId="0" applyFont="1" applyBorder="1" applyAlignment="1">
      <alignment vertical="center" wrapText="1"/>
    </xf>
    <xf numFmtId="0" fontId="5" fillId="0" borderId="14" xfId="0" applyFont="1" applyBorder="1" applyAlignment="1">
      <alignment horizontal="center" vertical="center"/>
    </xf>
    <xf numFmtId="0" fontId="5" fillId="0" borderId="12" xfId="0" applyFont="1" applyBorder="1" applyAlignment="1">
      <alignment vertical="center" wrapText="1"/>
    </xf>
    <xf numFmtId="0" fontId="5" fillId="0" borderId="37" xfId="0" applyFont="1" applyBorder="1" applyAlignment="1">
      <alignment vertical="center" wrapText="1"/>
    </xf>
    <xf numFmtId="0" fontId="5" fillId="0" borderId="38" xfId="0" applyFont="1" applyBorder="1" applyAlignment="1">
      <alignment horizontal="center" vertical="center"/>
    </xf>
    <xf numFmtId="0" fontId="5" fillId="0" borderId="39" xfId="0" applyFont="1" applyBorder="1" applyAlignment="1">
      <alignment vertical="center" wrapText="1"/>
    </xf>
    <xf numFmtId="0" fontId="5" fillId="0" borderId="30" xfId="0" applyFont="1" applyBorder="1" applyAlignment="1">
      <alignment horizontal="center" vertical="center" wrapText="1"/>
    </xf>
    <xf numFmtId="0" fontId="5" fillId="0" borderId="30" xfId="0" applyFont="1" applyBorder="1" applyAlignment="1">
      <alignment vertical="center" wrapText="1"/>
    </xf>
    <xf numFmtId="0" fontId="5" fillId="0" borderId="17" xfId="0" applyFont="1" applyBorder="1" applyAlignment="1">
      <alignment vertical="center"/>
    </xf>
    <xf numFmtId="0" fontId="5" fillId="0" borderId="14" xfId="0" applyFont="1" applyBorder="1" applyAlignment="1">
      <alignment vertical="center"/>
    </xf>
    <xf numFmtId="0" fontId="5" fillId="0" borderId="30" xfId="0" applyFont="1" applyBorder="1" applyAlignment="1">
      <alignment horizontal="center" vertical="center"/>
    </xf>
    <xf numFmtId="0" fontId="44" fillId="0" borderId="30" xfId="0" applyFont="1" applyBorder="1" applyAlignment="1">
      <alignment vertical="center" wrapText="1"/>
    </xf>
    <xf numFmtId="0" fontId="38" fillId="2" borderId="0" xfId="0" applyFont="1" applyFill="1" applyAlignment="1">
      <alignment horizontal="center" vertical="center"/>
    </xf>
    <xf numFmtId="0" fontId="15" fillId="2" borderId="0" xfId="0" applyFont="1" applyFill="1" applyAlignment="1">
      <alignment horizontal="center" vertical="center"/>
    </xf>
    <xf numFmtId="0" fontId="44" fillId="0" borderId="31" xfId="0" applyFont="1" applyBorder="1" applyAlignment="1">
      <alignment vertical="center" wrapText="1"/>
    </xf>
    <xf numFmtId="0" fontId="44" fillId="0" borderId="33" xfId="0" applyFont="1" applyBorder="1" applyAlignment="1">
      <alignment vertical="center" wrapText="1"/>
    </xf>
    <xf numFmtId="0" fontId="44" fillId="7" borderId="27" xfId="0" applyFont="1" applyFill="1" applyBorder="1" applyAlignment="1">
      <alignment horizontal="center" vertical="center" wrapText="1"/>
    </xf>
    <xf numFmtId="0" fontId="44" fillId="0" borderId="1" xfId="0" applyFont="1" applyBorder="1" applyAlignment="1">
      <alignment horizontal="center" vertical="center" wrapText="1"/>
    </xf>
    <xf numFmtId="14" fontId="33" fillId="0" borderId="1" xfId="0" applyNumberFormat="1" applyFont="1" applyBorder="1" applyAlignment="1">
      <alignment horizontal="center" vertical="center" wrapText="1"/>
    </xf>
    <xf numFmtId="0" fontId="40" fillId="11" borderId="1" xfId="0" applyFont="1" applyFill="1" applyBorder="1" applyAlignment="1">
      <alignment horizontal="center" vertical="center"/>
    </xf>
    <xf numFmtId="0" fontId="39" fillId="11" borderId="2" xfId="0" applyFont="1" applyFill="1" applyBorder="1" applyAlignment="1">
      <alignment horizontal="center" vertical="center" wrapText="1"/>
    </xf>
    <xf numFmtId="0" fontId="48" fillId="11" borderId="1" xfId="0" applyFont="1" applyFill="1" applyBorder="1" applyAlignment="1">
      <alignment horizontal="center" vertical="center" wrapText="1"/>
    </xf>
    <xf numFmtId="0" fontId="41" fillId="2" borderId="1" xfId="0" applyFont="1" applyFill="1" applyBorder="1" applyAlignment="1" applyProtection="1">
      <alignment horizontal="center" vertical="center" wrapText="1"/>
      <protection locked="0"/>
    </xf>
    <xf numFmtId="0" fontId="50" fillId="0" borderId="1" xfId="0" applyFont="1" applyBorder="1" applyAlignment="1">
      <alignment horizontal="center" vertical="center" wrapText="1"/>
    </xf>
    <xf numFmtId="0" fontId="50" fillId="0" borderId="18" xfId="0" applyFont="1" applyBorder="1" applyAlignment="1">
      <alignment horizontal="center" vertical="center" wrapText="1"/>
    </xf>
    <xf numFmtId="0" fontId="40" fillId="11" borderId="2" xfId="0" applyFont="1" applyFill="1" applyBorder="1" applyAlignment="1">
      <alignment horizontal="center" vertical="center"/>
    </xf>
    <xf numFmtId="0" fontId="49" fillId="2" borderId="10" xfId="0" applyFont="1" applyFill="1" applyBorder="1" applyAlignment="1" applyProtection="1">
      <alignment horizontal="center" vertical="center" wrapText="1"/>
      <protection locked="0"/>
    </xf>
    <xf numFmtId="0" fontId="6" fillId="2" borderId="1" xfId="5" applyFont="1" applyFill="1" applyBorder="1" applyAlignment="1">
      <alignment horizontal="center" vertical="center"/>
    </xf>
    <xf numFmtId="0" fontId="30" fillId="0" borderId="0" xfId="0" applyFont="1" applyAlignment="1">
      <alignment horizontal="center" vertical="center"/>
    </xf>
    <xf numFmtId="0" fontId="32" fillId="0" borderId="0" xfId="0" applyFont="1" applyAlignment="1">
      <alignment vertical="center"/>
    </xf>
    <xf numFmtId="0" fontId="30" fillId="0" borderId="0" xfId="0" applyFont="1" applyAlignment="1">
      <alignment horizontal="center" vertical="center" wrapText="1"/>
    </xf>
    <xf numFmtId="0" fontId="32" fillId="0" borderId="0" xfId="0" applyFont="1" applyAlignment="1">
      <alignment horizontal="center" vertical="center"/>
    </xf>
    <xf numFmtId="0" fontId="36" fillId="0" borderId="1" xfId="0" applyFont="1" applyBorder="1" applyAlignment="1">
      <alignment horizontal="center" vertical="center" wrapText="1"/>
    </xf>
    <xf numFmtId="14" fontId="49" fillId="2" borderId="10" xfId="0" applyNumberFormat="1" applyFont="1" applyFill="1" applyBorder="1" applyAlignment="1" applyProtection="1">
      <alignment horizontal="center" vertical="center" wrapText="1"/>
      <protection locked="0"/>
    </xf>
    <xf numFmtId="0" fontId="5" fillId="0" borderId="0" xfId="0" applyFont="1" applyAlignment="1">
      <alignment horizontal="center" vertical="center" wrapText="1"/>
    </xf>
    <xf numFmtId="0" fontId="44" fillId="0" borderId="1" xfId="0" applyFont="1" applyBorder="1" applyAlignment="1">
      <alignment vertical="center" wrapText="1"/>
    </xf>
    <xf numFmtId="0" fontId="54" fillId="0" borderId="0" xfId="0" applyFont="1" applyAlignment="1">
      <alignment horizontal="center"/>
    </xf>
    <xf numFmtId="0" fontId="47" fillId="0" borderId="0" xfId="0" applyFont="1"/>
    <xf numFmtId="0" fontId="47" fillId="0" borderId="0" xfId="0" applyFont="1" applyAlignment="1">
      <alignment horizontal="center"/>
    </xf>
    <xf numFmtId="0" fontId="47" fillId="0" borderId="16" xfId="0" applyFont="1" applyBorder="1"/>
    <xf numFmtId="0" fontId="55" fillId="12" borderId="24" xfId="0" applyFont="1" applyFill="1" applyBorder="1" applyAlignment="1">
      <alignment horizontal="center" vertical="center" wrapText="1"/>
    </xf>
    <xf numFmtId="0" fontId="55" fillId="12" borderId="9" xfId="0" applyFont="1" applyFill="1" applyBorder="1" applyAlignment="1">
      <alignment horizontal="center" vertical="center"/>
    </xf>
    <xf numFmtId="0" fontId="55" fillId="12" borderId="7" xfId="0" applyFont="1" applyFill="1" applyBorder="1" applyAlignment="1">
      <alignment horizontal="center" vertical="center"/>
    </xf>
    <xf numFmtId="0" fontId="55" fillId="12" borderId="8" xfId="0" applyFont="1" applyFill="1" applyBorder="1" applyAlignment="1">
      <alignment horizontal="center" vertical="center"/>
    </xf>
    <xf numFmtId="0" fontId="55" fillId="12" borderId="21" xfId="0" applyFont="1" applyFill="1" applyBorder="1" applyAlignment="1">
      <alignment horizontal="center" vertical="center" wrapText="1"/>
    </xf>
    <xf numFmtId="0" fontId="55" fillId="12" borderId="3" xfId="0" applyFont="1" applyFill="1" applyBorder="1" applyAlignment="1">
      <alignment horizontal="center" vertical="center" wrapText="1"/>
    </xf>
    <xf numFmtId="0" fontId="55" fillId="12" borderId="19" xfId="0" applyFont="1" applyFill="1" applyBorder="1" applyAlignment="1">
      <alignment horizontal="center" vertical="center" wrapText="1"/>
    </xf>
    <xf numFmtId="0" fontId="55" fillId="12" borderId="19" xfId="0" applyFont="1" applyFill="1" applyBorder="1" applyAlignment="1">
      <alignment horizontal="center" vertical="center"/>
    </xf>
    <xf numFmtId="0" fontId="55" fillId="12" borderId="8" xfId="0" applyFont="1" applyFill="1" applyBorder="1" applyAlignment="1">
      <alignment horizontal="center" vertical="center" wrapText="1"/>
    </xf>
    <xf numFmtId="0" fontId="55" fillId="12" borderId="1" xfId="0" applyFont="1" applyFill="1" applyBorder="1" applyAlignment="1">
      <alignment horizontal="center" vertical="center"/>
    </xf>
    <xf numFmtId="0" fontId="56" fillId="0" borderId="1" xfId="0" applyFont="1" applyBorder="1" applyAlignment="1" applyProtection="1">
      <alignment horizontal="center" vertical="center" wrapText="1"/>
      <protection locked="0"/>
    </xf>
    <xf numFmtId="0" fontId="56" fillId="0" borderId="1" xfId="0" applyFont="1" applyBorder="1" applyAlignment="1">
      <alignment horizontal="left" vertical="center" wrapText="1"/>
    </xf>
    <xf numFmtId="0" fontId="56" fillId="2" borderId="20" xfId="0" applyFont="1" applyFill="1" applyBorder="1" applyAlignment="1" applyProtection="1">
      <alignment horizontal="left" vertical="center" wrapText="1"/>
      <protection locked="0"/>
    </xf>
    <xf numFmtId="0" fontId="56" fillId="2" borderId="1" xfId="0" applyFont="1" applyFill="1" applyBorder="1" applyAlignment="1" applyProtection="1">
      <alignment horizontal="center" vertical="center" wrapText="1"/>
      <protection locked="0"/>
    </xf>
    <xf numFmtId="0" fontId="56" fillId="2" borderId="1" xfId="0" applyFont="1" applyFill="1" applyBorder="1" applyAlignment="1">
      <alignment horizontal="center" vertical="center" wrapText="1"/>
    </xf>
    <xf numFmtId="0" fontId="57" fillId="2" borderId="1" xfId="0" applyFont="1" applyFill="1" applyBorder="1" applyAlignment="1">
      <alignment horizontal="center" vertical="center" wrapText="1"/>
    </xf>
    <xf numFmtId="0" fontId="56" fillId="0" borderId="1" xfId="0" applyFont="1" applyBorder="1" applyAlignment="1" applyProtection="1">
      <alignment horizontal="left" vertical="center" wrapText="1"/>
      <protection locked="0"/>
    </xf>
    <xf numFmtId="0" fontId="56" fillId="0" borderId="1" xfId="0" applyFont="1" applyBorder="1" applyAlignment="1" applyProtection="1">
      <alignment horizontal="left" vertical="top" wrapText="1"/>
      <protection locked="0"/>
    </xf>
    <xf numFmtId="0" fontId="56" fillId="0" borderId="20" xfId="0" applyFont="1" applyBorder="1" applyAlignment="1" applyProtection="1">
      <alignment horizontal="left" vertical="center" wrapText="1"/>
      <protection locked="0"/>
    </xf>
    <xf numFmtId="0" fontId="56" fillId="0" borderId="1" xfId="0" applyFont="1" applyBorder="1" applyAlignment="1" applyProtection="1">
      <alignment horizontal="center" vertical="top" wrapText="1"/>
      <protection locked="0"/>
    </xf>
    <xf numFmtId="0" fontId="56" fillId="0" borderId="19" xfId="0" applyFont="1" applyBorder="1" applyAlignment="1" applyProtection="1">
      <alignment horizontal="left" vertical="center" wrapText="1"/>
      <protection locked="0"/>
    </xf>
    <xf numFmtId="0" fontId="56" fillId="2" borderId="19" xfId="0" applyFont="1" applyFill="1" applyBorder="1" applyAlignment="1" applyProtection="1">
      <alignment horizontal="left" vertical="center" wrapText="1"/>
      <protection locked="0"/>
    </xf>
    <xf numFmtId="0" fontId="56" fillId="2" borderId="18" xfId="0" applyFont="1" applyFill="1" applyBorder="1" applyAlignment="1" applyProtection="1">
      <alignment horizontal="center" vertical="center" wrapText="1"/>
      <protection locked="0"/>
    </xf>
    <xf numFmtId="0" fontId="56" fillId="2" borderId="18" xfId="0" applyFont="1" applyFill="1" applyBorder="1" applyAlignment="1">
      <alignment horizontal="center" vertical="center" wrapText="1"/>
    </xf>
    <xf numFmtId="0" fontId="57" fillId="2" borderId="18" xfId="0" applyFont="1" applyFill="1" applyBorder="1" applyAlignment="1">
      <alignment horizontal="center" vertical="center" wrapText="1"/>
    </xf>
    <xf numFmtId="0" fontId="56" fillId="0" borderId="18" xfId="0" applyFont="1" applyBorder="1" applyAlignment="1" applyProtection="1">
      <alignment horizontal="left" vertical="center" wrapText="1"/>
      <protection locked="0"/>
    </xf>
    <xf numFmtId="0" fontId="56" fillId="0" borderId="18" xfId="0" applyFont="1" applyBorder="1" applyAlignment="1" applyProtection="1">
      <alignment horizontal="left" vertical="top" wrapText="1"/>
      <protection locked="0"/>
    </xf>
    <xf numFmtId="0" fontId="56" fillId="0" borderId="18" xfId="0" applyFont="1" applyBorder="1" applyAlignment="1">
      <alignment wrapText="1"/>
    </xf>
    <xf numFmtId="0" fontId="56" fillId="0" borderId="1" xfId="0" applyFont="1" applyBorder="1" applyAlignment="1">
      <alignment wrapText="1"/>
    </xf>
    <xf numFmtId="0" fontId="56" fillId="0" borderId="1" xfId="0" applyFont="1" applyBorder="1" applyAlignment="1">
      <alignment horizontal="center" wrapText="1"/>
    </xf>
    <xf numFmtId="0" fontId="58" fillId="0" borderId="1" xfId="0" applyFont="1" applyBorder="1"/>
    <xf numFmtId="0" fontId="5" fillId="0" borderId="24" xfId="0" applyFont="1" applyBorder="1" applyAlignment="1">
      <alignment horizontal="center" vertical="center" wrapText="1"/>
    </xf>
    <xf numFmtId="0" fontId="5" fillId="0" borderId="24" xfId="0" applyFont="1" applyBorder="1" applyAlignment="1">
      <alignment vertical="center" wrapText="1"/>
    </xf>
    <xf numFmtId="0" fontId="5" fillId="0" borderId="36" xfId="0" applyFont="1" applyBorder="1" applyAlignment="1">
      <alignment horizontal="center" vertical="center"/>
    </xf>
    <xf numFmtId="0" fontId="5" fillId="0" borderId="24" xfId="0" applyFont="1" applyBorder="1" applyAlignment="1">
      <alignment horizontal="center" vertical="center"/>
    </xf>
    <xf numFmtId="0" fontId="5" fillId="0" borderId="35" xfId="0" applyFont="1" applyBorder="1" applyAlignment="1">
      <alignment vertical="center" wrapText="1"/>
    </xf>
    <xf numFmtId="0" fontId="56" fillId="13" borderId="1" xfId="0" applyFont="1" applyFill="1" applyBorder="1" applyAlignment="1" applyProtection="1">
      <alignment vertical="center" wrapText="1"/>
      <protection locked="0"/>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56" fillId="0" borderId="19" xfId="0" applyFont="1" applyBorder="1" applyAlignment="1">
      <alignment horizontal="left" vertical="center" wrapText="1"/>
    </xf>
    <xf numFmtId="0" fontId="56" fillId="2" borderId="19" xfId="0" applyFont="1" applyFill="1" applyBorder="1" applyAlignment="1" applyProtection="1">
      <alignment horizontal="center" vertical="center" wrapText="1"/>
      <protection locked="0"/>
    </xf>
    <xf numFmtId="0" fontId="56" fillId="0" borderId="19" xfId="0" applyFont="1" applyBorder="1" applyAlignment="1" applyProtection="1">
      <alignment horizontal="left" vertical="top" wrapText="1"/>
      <protection locked="0"/>
    </xf>
    <xf numFmtId="0" fontId="56" fillId="2" borderId="8" xfId="0" applyFont="1" applyFill="1" applyBorder="1" applyAlignment="1" applyProtection="1">
      <alignment horizontal="left" vertical="center" wrapText="1"/>
      <protection locked="0"/>
    </xf>
    <xf numFmtId="0" fontId="27" fillId="0" borderId="2" xfId="0" applyFont="1" applyBorder="1" applyAlignment="1">
      <alignment vertical="center"/>
    </xf>
    <xf numFmtId="0" fontId="27" fillId="0" borderId="2" xfId="0" applyFont="1" applyBorder="1"/>
    <xf numFmtId="0" fontId="27" fillId="0" borderId="47" xfId="0" applyFont="1" applyBorder="1" applyAlignment="1">
      <alignment vertical="center"/>
    </xf>
    <xf numFmtId="0" fontId="56" fillId="0" borderId="20" xfId="0" applyFont="1" applyBorder="1" applyAlignment="1">
      <alignment horizontal="left" vertical="center" wrapText="1"/>
    </xf>
    <xf numFmtId="0" fontId="57" fillId="0" borderId="1" xfId="0" applyFont="1" applyBorder="1" applyAlignment="1">
      <alignment horizontal="center" vertical="center" wrapText="1"/>
    </xf>
    <xf numFmtId="0" fontId="57" fillId="0" borderId="1" xfId="0" applyFont="1" applyBorder="1" applyAlignment="1">
      <alignment vertical="center" wrapText="1"/>
    </xf>
    <xf numFmtId="0" fontId="56" fillId="2" borderId="20" xfId="0" applyFont="1" applyFill="1" applyBorder="1" applyAlignment="1" applyProtection="1">
      <alignment horizontal="center" vertical="center" wrapText="1"/>
      <protection locked="0"/>
    </xf>
    <xf numFmtId="0" fontId="62" fillId="0" borderId="1" xfId="0" applyFont="1" applyBorder="1" applyAlignment="1">
      <alignment vertical="center" wrapText="1"/>
    </xf>
    <xf numFmtId="0" fontId="57" fillId="0" borderId="20" xfId="0" applyFont="1" applyBorder="1" applyAlignment="1">
      <alignment horizontal="center" vertical="center" wrapText="1"/>
    </xf>
    <xf numFmtId="0" fontId="57" fillId="0" borderId="20" xfId="0" applyFont="1" applyBorder="1" applyAlignment="1">
      <alignment vertical="center" wrapText="1"/>
    </xf>
    <xf numFmtId="0" fontId="62" fillId="7" borderId="1" xfId="0" applyFont="1" applyFill="1" applyBorder="1" applyAlignment="1">
      <alignment horizontal="center" vertical="center" wrapText="1"/>
    </xf>
    <xf numFmtId="0" fontId="56" fillId="0" borderId="1" xfId="0" applyFont="1" applyBorder="1" applyAlignment="1">
      <alignment vertical="top" wrapText="1"/>
    </xf>
    <xf numFmtId="0" fontId="56" fillId="0" borderId="1" xfId="0" applyFont="1" applyBorder="1" applyAlignment="1">
      <alignment horizontal="left" vertical="top" wrapText="1"/>
    </xf>
    <xf numFmtId="0" fontId="56" fillId="0" borderId="18" xfId="0" applyFont="1" applyBorder="1" applyAlignment="1" applyProtection="1">
      <alignment horizontal="center" vertical="center" wrapText="1"/>
      <protection locked="0"/>
    </xf>
    <xf numFmtId="0" fontId="56" fillId="0" borderId="19" xfId="0" applyFont="1" applyBorder="1" applyAlignment="1" applyProtection="1">
      <alignment horizontal="center" vertical="center" wrapText="1"/>
      <protection locked="0"/>
    </xf>
    <xf numFmtId="0" fontId="56" fillId="0" borderId="20" xfId="0" applyFont="1" applyBorder="1" applyAlignment="1" applyProtection="1">
      <alignment horizontal="center" vertical="center" wrapText="1"/>
      <protection locked="0"/>
    </xf>
    <xf numFmtId="0" fontId="56" fillId="13" borderId="19" xfId="0" applyFont="1" applyFill="1" applyBorder="1" applyAlignment="1" applyProtection="1">
      <alignment horizontal="center" vertical="center" wrapText="1"/>
      <protection locked="0"/>
    </xf>
    <xf numFmtId="0" fontId="56" fillId="2" borderId="1" xfId="0" applyFont="1" applyFill="1" applyBorder="1" applyAlignment="1" applyProtection="1">
      <alignment horizontal="left" vertical="center" wrapText="1"/>
      <protection locked="0"/>
    </xf>
    <xf numFmtId="0" fontId="56" fillId="2" borderId="10" xfId="0" applyFont="1" applyFill="1" applyBorder="1" applyAlignment="1" applyProtection="1">
      <alignment horizontal="center" vertical="center" wrapText="1"/>
      <protection locked="0"/>
    </xf>
    <xf numFmtId="0" fontId="27" fillId="4" borderId="2" xfId="0" applyFont="1" applyFill="1" applyBorder="1" applyAlignment="1">
      <alignment vertical="center"/>
    </xf>
    <xf numFmtId="0" fontId="56" fillId="4" borderId="1" xfId="0" applyFont="1" applyFill="1" applyBorder="1" applyAlignment="1" applyProtection="1">
      <alignment horizontal="center" vertical="center" wrapText="1"/>
      <protection locked="0"/>
    </xf>
    <xf numFmtId="0" fontId="56" fillId="4" borderId="20" xfId="0" applyFont="1" applyFill="1" applyBorder="1" applyAlignment="1" applyProtection="1">
      <alignment horizontal="left" vertical="center" wrapText="1"/>
      <protection locked="0"/>
    </xf>
    <xf numFmtId="0" fontId="56" fillId="4" borderId="1" xfId="0" applyFont="1" applyFill="1" applyBorder="1" applyAlignment="1">
      <alignment horizontal="center" vertical="center" wrapText="1"/>
    </xf>
    <xf numFmtId="0" fontId="57" fillId="4" borderId="1" xfId="0" applyFont="1" applyFill="1" applyBorder="1" applyAlignment="1">
      <alignment horizontal="center" vertical="center" wrapText="1"/>
    </xf>
    <xf numFmtId="0" fontId="56" fillId="4" borderId="1" xfId="0" applyFont="1" applyFill="1" applyBorder="1" applyAlignment="1" applyProtection="1">
      <alignment horizontal="left" vertical="center" wrapText="1"/>
      <protection locked="0"/>
    </xf>
    <xf numFmtId="0" fontId="56" fillId="4" borderId="1" xfId="0" applyFont="1" applyFill="1" applyBorder="1" applyAlignment="1" applyProtection="1">
      <alignment horizontal="left" vertical="top" wrapText="1"/>
      <protection locked="0"/>
    </xf>
    <xf numFmtId="0" fontId="56" fillId="4" borderId="1" xfId="0" applyFont="1" applyFill="1" applyBorder="1" applyAlignment="1" applyProtection="1">
      <alignment horizontal="center" vertical="top" wrapText="1"/>
      <protection locked="0"/>
    </xf>
    <xf numFmtId="0" fontId="27" fillId="4" borderId="1" xfId="0" applyFont="1" applyFill="1" applyBorder="1" applyAlignment="1">
      <alignment vertical="center"/>
    </xf>
    <xf numFmtId="0" fontId="56" fillId="4" borderId="1" xfId="0" applyFont="1" applyFill="1" applyBorder="1" applyAlignment="1">
      <alignment horizontal="left" vertical="center" wrapText="1"/>
    </xf>
    <xf numFmtId="0" fontId="56" fillId="0" borderId="1" xfId="0" applyFont="1" applyBorder="1" applyAlignment="1">
      <alignment vertical="center" wrapText="1"/>
    </xf>
    <xf numFmtId="0" fontId="56" fillId="2" borderId="20" xfId="0" applyFont="1" applyFill="1" applyBorder="1" applyAlignment="1">
      <alignment horizontal="center" vertical="center" wrapText="1"/>
    </xf>
    <xf numFmtId="0" fontId="57" fillId="0" borderId="1" xfId="0" applyFont="1" applyBorder="1" applyAlignment="1">
      <alignment horizontal="center" vertical="center"/>
    </xf>
    <xf numFmtId="0" fontId="15" fillId="0" borderId="1" xfId="0" applyFont="1" applyBorder="1" applyAlignment="1">
      <alignment vertical="center" wrapText="1"/>
    </xf>
    <xf numFmtId="0" fontId="62" fillId="7" borderId="20" xfId="0" applyFont="1" applyFill="1" applyBorder="1" applyAlignment="1">
      <alignment horizontal="center" vertical="center" wrapText="1"/>
    </xf>
    <xf numFmtId="0" fontId="62" fillId="0" borderId="20" xfId="0" applyFont="1" applyBorder="1" applyAlignment="1">
      <alignment vertical="center" wrapText="1"/>
    </xf>
    <xf numFmtId="0" fontId="56" fillId="14" borderId="1" xfId="0" applyFont="1" applyFill="1" applyBorder="1" applyAlignment="1" applyProtection="1">
      <alignment horizontal="center" vertical="center" wrapText="1"/>
      <protection locked="0"/>
    </xf>
    <xf numFmtId="0" fontId="63" fillId="0" borderId="0" xfId="0" applyFont="1" applyAlignment="1">
      <alignment vertical="top" wrapText="1"/>
    </xf>
    <xf numFmtId="0" fontId="64" fillId="0" borderId="1" xfId="0" applyFont="1" applyBorder="1" applyAlignment="1">
      <alignment vertical="center" wrapText="1"/>
    </xf>
    <xf numFmtId="0" fontId="57" fillId="0" borderId="18" xfId="0" applyFont="1" applyBorder="1" applyAlignment="1">
      <alignment horizontal="center" vertical="center" wrapText="1"/>
    </xf>
    <xf numFmtId="0" fontId="57" fillId="0" borderId="18" xfId="0" applyFont="1" applyBorder="1" applyAlignment="1">
      <alignment vertical="center" wrapText="1"/>
    </xf>
    <xf numFmtId="0" fontId="56" fillId="0" borderId="18" xfId="0" applyFont="1" applyBorder="1" applyAlignment="1">
      <alignment vertical="center" wrapText="1"/>
    </xf>
    <xf numFmtId="0" fontId="58" fillId="0" borderId="1" xfId="0" applyFont="1" applyBorder="1" applyAlignment="1">
      <alignment vertical="center" wrapText="1"/>
    </xf>
    <xf numFmtId="0" fontId="0" fillId="0" borderId="1" xfId="0" applyBorder="1" applyAlignment="1">
      <alignment horizontal="center" vertical="center"/>
    </xf>
    <xf numFmtId="0" fontId="2" fillId="0" borderId="1" xfId="0" applyFont="1" applyBorder="1" applyAlignment="1">
      <alignment horizontal="center" vertical="center"/>
    </xf>
    <xf numFmtId="0" fontId="61" fillId="2" borderId="19" xfId="0" applyFont="1" applyFill="1" applyBorder="1" applyAlignment="1">
      <alignment horizontal="center" vertical="center" textRotation="90" wrapText="1"/>
    </xf>
    <xf numFmtId="0" fontId="61" fillId="2" borderId="20" xfId="0" applyFont="1" applyFill="1" applyBorder="1" applyAlignment="1">
      <alignment horizontal="center" vertical="center" textRotation="90" wrapText="1"/>
    </xf>
    <xf numFmtId="0" fontId="56" fillId="0" borderId="19" xfId="0" applyFont="1" applyBorder="1" applyAlignment="1" applyProtection="1">
      <alignment horizontal="center" vertical="center" wrapText="1"/>
      <protection locked="0"/>
    </xf>
    <xf numFmtId="0" fontId="56" fillId="0" borderId="20" xfId="0" applyFont="1" applyBorder="1" applyAlignment="1" applyProtection="1">
      <alignment horizontal="center" vertical="center" wrapText="1"/>
      <protection locked="0"/>
    </xf>
    <xf numFmtId="0" fontId="56" fillId="9" borderId="18" xfId="0" applyFont="1" applyFill="1" applyBorder="1" applyAlignment="1" applyProtection="1">
      <alignment horizontal="center" vertical="center" wrapText="1"/>
      <protection locked="0"/>
    </xf>
    <xf numFmtId="0" fontId="56" fillId="9" borderId="19" xfId="0" applyFont="1" applyFill="1" applyBorder="1" applyAlignment="1" applyProtection="1">
      <alignment horizontal="center" vertical="center" wrapText="1"/>
      <protection locked="0"/>
    </xf>
    <xf numFmtId="0" fontId="56" fillId="9" borderId="20" xfId="0" applyFont="1" applyFill="1" applyBorder="1" applyAlignment="1" applyProtection="1">
      <alignment horizontal="center" vertical="center" wrapText="1"/>
      <protection locked="0"/>
    </xf>
    <xf numFmtId="0" fontId="56" fillId="10" borderId="18" xfId="0" applyFont="1" applyFill="1" applyBorder="1" applyAlignment="1" applyProtection="1">
      <alignment horizontal="center" vertical="center" wrapText="1"/>
      <protection locked="0"/>
    </xf>
    <xf numFmtId="0" fontId="56" fillId="10" borderId="19" xfId="0" applyFont="1" applyFill="1" applyBorder="1" applyAlignment="1" applyProtection="1">
      <alignment horizontal="center" vertical="center" wrapText="1"/>
      <protection locked="0"/>
    </xf>
    <xf numFmtId="0" fontId="56" fillId="10" borderId="20" xfId="0" applyFont="1" applyFill="1" applyBorder="1" applyAlignment="1" applyProtection="1">
      <alignment horizontal="center" vertical="center" wrapText="1"/>
      <protection locked="0"/>
    </xf>
    <xf numFmtId="0" fontId="56" fillId="15" borderId="18" xfId="0" applyFont="1" applyFill="1" applyBorder="1" applyAlignment="1" applyProtection="1">
      <alignment horizontal="center" vertical="center" wrapText="1"/>
      <protection locked="0"/>
    </xf>
    <xf numFmtId="0" fontId="56" fillId="15" borderId="19" xfId="0" applyFont="1" applyFill="1" applyBorder="1" applyAlignment="1" applyProtection="1">
      <alignment horizontal="center" vertical="center" wrapText="1"/>
      <protection locked="0"/>
    </xf>
    <xf numFmtId="0" fontId="56" fillId="15" borderId="20" xfId="0" applyFont="1" applyFill="1" applyBorder="1" applyAlignment="1" applyProtection="1">
      <alignment horizontal="center" vertical="center" wrapText="1"/>
      <protection locked="0"/>
    </xf>
    <xf numFmtId="0" fontId="56" fillId="0" borderId="18" xfId="0" applyFont="1" applyBorder="1" applyAlignment="1" applyProtection="1">
      <alignment horizontal="center" vertical="center" wrapText="1"/>
      <protection locked="0"/>
    </xf>
    <xf numFmtId="0" fontId="56" fillId="5" borderId="18" xfId="0" applyFont="1" applyFill="1" applyBorder="1" applyAlignment="1" applyProtection="1">
      <alignment horizontal="center" vertical="center" wrapText="1"/>
      <protection locked="0"/>
    </xf>
    <xf numFmtId="0" fontId="56" fillId="5" borderId="19" xfId="0" applyFont="1" applyFill="1" applyBorder="1" applyAlignment="1" applyProtection="1">
      <alignment horizontal="center" vertical="center" wrapText="1"/>
      <protection locked="0"/>
    </xf>
    <xf numFmtId="0" fontId="56" fillId="5" borderId="20" xfId="0" applyFont="1" applyFill="1" applyBorder="1" applyAlignment="1" applyProtection="1">
      <alignment horizontal="center" vertical="center" wrapText="1"/>
      <protection locked="0"/>
    </xf>
    <xf numFmtId="0" fontId="56" fillId="5" borderId="1" xfId="0" applyFont="1" applyFill="1" applyBorder="1" applyAlignment="1" applyProtection="1">
      <alignment horizontal="center" vertical="center" wrapText="1"/>
      <protection locked="0"/>
    </xf>
    <xf numFmtId="0" fontId="40" fillId="11" borderId="2" xfId="0" applyFont="1" applyFill="1" applyBorder="1" applyAlignment="1">
      <alignment horizontal="center" vertical="center"/>
    </xf>
    <xf numFmtId="0" fontId="40" fillId="11" borderId="10" xfId="0" applyFont="1" applyFill="1" applyBorder="1" applyAlignment="1">
      <alignment horizontal="center" vertical="center"/>
    </xf>
    <xf numFmtId="0" fontId="40" fillId="11" borderId="25" xfId="0" applyFont="1" applyFill="1" applyBorder="1" applyAlignment="1">
      <alignment horizontal="center" vertical="center"/>
    </xf>
    <xf numFmtId="0" fontId="56" fillId="4" borderId="18" xfId="0" applyFont="1" applyFill="1" applyBorder="1" applyAlignment="1" applyProtection="1">
      <alignment horizontal="center" vertical="center" wrapText="1"/>
      <protection locked="0"/>
    </xf>
    <xf numFmtId="0" fontId="56" fillId="4" borderId="19" xfId="0" applyFont="1" applyFill="1" applyBorder="1" applyAlignment="1" applyProtection="1">
      <alignment horizontal="center" vertical="center" wrapText="1"/>
      <protection locked="0"/>
    </xf>
    <xf numFmtId="0" fontId="56" fillId="4" borderId="20" xfId="0" applyFont="1" applyFill="1" applyBorder="1" applyAlignment="1" applyProtection="1">
      <alignment horizontal="center" vertical="center" wrapText="1"/>
      <protection locked="0"/>
    </xf>
    <xf numFmtId="0" fontId="56" fillId="13" borderId="18" xfId="0" applyFont="1" applyFill="1" applyBorder="1" applyAlignment="1" applyProtection="1">
      <alignment horizontal="center" vertical="center" wrapText="1"/>
      <protection locked="0"/>
    </xf>
    <xf numFmtId="0" fontId="56" fillId="13" borderId="19" xfId="0" applyFont="1" applyFill="1" applyBorder="1" applyAlignment="1" applyProtection="1">
      <alignment horizontal="center" vertical="center" wrapText="1"/>
      <protection locked="0"/>
    </xf>
    <xf numFmtId="0" fontId="56" fillId="13" borderId="20" xfId="0" applyFont="1" applyFill="1" applyBorder="1" applyAlignment="1" applyProtection="1">
      <alignment horizontal="center" vertical="center" wrapText="1"/>
      <protection locked="0"/>
    </xf>
    <xf numFmtId="0" fontId="56" fillId="14" borderId="18" xfId="0" applyFont="1" applyFill="1" applyBorder="1" applyAlignment="1" applyProtection="1">
      <alignment horizontal="center" vertical="center" wrapText="1"/>
      <protection locked="0"/>
    </xf>
    <xf numFmtId="0" fontId="56" fillId="14" borderId="20" xfId="0" applyFont="1" applyFill="1" applyBorder="1" applyAlignment="1" applyProtection="1">
      <alignment horizontal="center" vertical="center" wrapText="1"/>
      <protection locked="0"/>
    </xf>
    <xf numFmtId="0" fontId="56" fillId="14" borderId="19" xfId="0" applyFont="1" applyFill="1" applyBorder="1" applyAlignment="1" applyProtection="1">
      <alignment horizontal="center" vertical="center" wrapText="1"/>
      <protection locked="0"/>
    </xf>
    <xf numFmtId="0" fontId="33" fillId="0" borderId="2" xfId="0" applyFont="1" applyBorder="1" applyAlignment="1">
      <alignment horizontal="center" vertical="center" wrapText="1"/>
    </xf>
    <xf numFmtId="0" fontId="33" fillId="0" borderId="25" xfId="0" applyFont="1" applyBorder="1" applyAlignment="1">
      <alignment horizontal="center" vertical="center" wrapText="1"/>
    </xf>
    <xf numFmtId="0" fontId="33" fillId="0" borderId="10" xfId="0" applyFont="1" applyBorder="1" applyAlignment="1">
      <alignment horizontal="center" vertical="center" wrapText="1"/>
    </xf>
    <xf numFmtId="0" fontId="33" fillId="0" borderId="1" xfId="0" applyFont="1" applyBorder="1" applyAlignment="1">
      <alignment horizontal="center" vertical="center" wrapText="1"/>
    </xf>
    <xf numFmtId="0" fontId="55" fillId="12" borderId="2" xfId="0" applyFont="1" applyFill="1" applyBorder="1" applyAlignment="1">
      <alignment horizontal="center" vertical="center"/>
    </xf>
    <xf numFmtId="0" fontId="55" fillId="12" borderId="25" xfId="0" applyFont="1" applyFill="1" applyBorder="1" applyAlignment="1">
      <alignment horizontal="center" vertical="center"/>
    </xf>
    <xf numFmtId="0" fontId="55" fillId="12" borderId="10" xfId="0" applyFont="1" applyFill="1" applyBorder="1" applyAlignment="1">
      <alignment horizontal="center" vertical="center"/>
    </xf>
    <xf numFmtId="0" fontId="47" fillId="0" borderId="1" xfId="0" applyFont="1" applyBorder="1" applyAlignment="1">
      <alignment horizontal="left" vertical="center"/>
    </xf>
    <xf numFmtId="0" fontId="41" fillId="2" borderId="1" xfId="0" applyFont="1" applyFill="1" applyBorder="1" applyAlignment="1" applyProtection="1">
      <alignment horizontal="center" vertical="center" wrapText="1"/>
      <protection locked="0"/>
    </xf>
    <xf numFmtId="0" fontId="55" fillId="12" borderId="1" xfId="0" applyFont="1" applyFill="1" applyBorder="1" applyAlignment="1">
      <alignment horizontal="center" vertical="center"/>
    </xf>
    <xf numFmtId="0" fontId="15" fillId="2" borderId="0" xfId="0" applyFont="1" applyFill="1" applyAlignment="1">
      <alignment horizontal="center" vertical="center" wrapText="1"/>
    </xf>
    <xf numFmtId="0" fontId="15" fillId="2" borderId="0" xfId="0" applyFont="1" applyFill="1" applyAlignment="1">
      <alignment horizontal="center" vertical="center"/>
    </xf>
    <xf numFmtId="0" fontId="48" fillId="11" borderId="2" xfId="0" applyFont="1" applyFill="1" applyBorder="1" applyAlignment="1">
      <alignment horizontal="center" vertical="center"/>
    </xf>
    <xf numFmtId="0" fontId="48" fillId="11" borderId="10" xfId="0" applyFont="1" applyFill="1" applyBorder="1" applyAlignment="1">
      <alignment horizontal="center" vertical="center"/>
    </xf>
    <xf numFmtId="0" fontId="53" fillId="2" borderId="11" xfId="0" applyFont="1" applyFill="1" applyBorder="1" applyAlignment="1">
      <alignment horizontal="center" vertical="center" wrapText="1"/>
    </xf>
    <xf numFmtId="0" fontId="53" fillId="2" borderId="13" xfId="0" applyFont="1" applyFill="1" applyBorder="1" applyAlignment="1">
      <alignment horizontal="center" vertical="center" wrapText="1"/>
    </xf>
    <xf numFmtId="0" fontId="53" fillId="2" borderId="15" xfId="0" applyFont="1" applyFill="1" applyBorder="1" applyAlignment="1">
      <alignment horizontal="center" vertical="center" wrapText="1"/>
    </xf>
    <xf numFmtId="0" fontId="51" fillId="11" borderId="1" xfId="0" applyFont="1" applyFill="1" applyBorder="1" applyAlignment="1">
      <alignment horizontal="left" vertical="center"/>
    </xf>
    <xf numFmtId="0" fontId="48" fillId="11" borderId="1"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6" fillId="2" borderId="5" xfId="0" applyFont="1" applyFill="1" applyBorder="1" applyAlignment="1">
      <alignment horizontal="center" vertical="center" wrapText="1"/>
    </xf>
    <xf numFmtId="0" fontId="46" fillId="2" borderId="6" xfId="0" applyFont="1" applyFill="1" applyBorder="1" applyAlignment="1">
      <alignment horizontal="center" vertical="center" wrapText="1"/>
    </xf>
    <xf numFmtId="0" fontId="59" fillId="2" borderId="40" xfId="0" applyFont="1" applyFill="1" applyBorder="1" applyAlignment="1">
      <alignment horizontal="center" vertical="center" wrapText="1"/>
    </xf>
    <xf numFmtId="0" fontId="59" fillId="2" borderId="41" xfId="0" applyFont="1" applyFill="1" applyBorder="1" applyAlignment="1">
      <alignment horizontal="center" vertical="center" wrapText="1"/>
    </xf>
    <xf numFmtId="0" fontId="59" fillId="2" borderId="42" xfId="0" applyFont="1" applyFill="1" applyBorder="1" applyAlignment="1">
      <alignment horizontal="center" vertical="center" wrapText="1"/>
    </xf>
    <xf numFmtId="0" fontId="59" fillId="2" borderId="13" xfId="0" applyFont="1" applyFill="1" applyBorder="1" applyAlignment="1">
      <alignment horizontal="center" vertical="center" wrapText="1"/>
    </xf>
    <xf numFmtId="0" fontId="59" fillId="2" borderId="0" xfId="0" applyFont="1" applyFill="1" applyAlignment="1">
      <alignment horizontal="center" vertical="center" wrapText="1"/>
    </xf>
    <xf numFmtId="0" fontId="59" fillId="2" borderId="14" xfId="0" applyFont="1" applyFill="1" applyBorder="1" applyAlignment="1">
      <alignment horizontal="center" vertical="center" wrapText="1"/>
    </xf>
    <xf numFmtId="0" fontId="59" fillId="2" borderId="15" xfId="0" applyFont="1" applyFill="1" applyBorder="1" applyAlignment="1">
      <alignment horizontal="center" vertical="center" wrapText="1"/>
    </xf>
    <xf numFmtId="0" fontId="59" fillId="2" borderId="16" xfId="0" applyFont="1" applyFill="1" applyBorder="1" applyAlignment="1">
      <alignment horizontal="center" vertical="center" wrapText="1"/>
    </xf>
    <xf numFmtId="0" fontId="59" fillId="2" borderId="17" xfId="0" applyFont="1" applyFill="1" applyBorder="1" applyAlignment="1">
      <alignment horizontal="center" vertical="center" wrapText="1"/>
    </xf>
    <xf numFmtId="0" fontId="60" fillId="0" borderId="43" xfId="0" applyFont="1" applyBorder="1" applyAlignment="1">
      <alignment horizontal="left" vertical="center"/>
    </xf>
    <xf numFmtId="0" fontId="60" fillId="0" borderId="44" xfId="0" applyFont="1" applyBorder="1" applyAlignment="1">
      <alignment horizontal="left" vertical="center"/>
    </xf>
    <xf numFmtId="0" fontId="45" fillId="2" borderId="45" xfId="0" applyFont="1" applyFill="1" applyBorder="1" applyAlignment="1">
      <alignment horizontal="left" vertical="center" wrapText="1"/>
    </xf>
    <xf numFmtId="0" fontId="45" fillId="2" borderId="46" xfId="0" applyFont="1" applyFill="1" applyBorder="1" applyAlignment="1">
      <alignment horizontal="left" vertical="center" wrapText="1"/>
    </xf>
    <xf numFmtId="0" fontId="45" fillId="2" borderId="15" xfId="0" applyFont="1" applyFill="1" applyBorder="1" applyAlignment="1" applyProtection="1">
      <alignment horizontal="left" vertical="top"/>
      <protection locked="0"/>
    </xf>
    <xf numFmtId="0" fontId="45" fillId="2" borderId="17" xfId="0" applyFont="1" applyFill="1" applyBorder="1" applyAlignment="1" applyProtection="1">
      <alignment horizontal="left" vertical="top"/>
      <protection locked="0"/>
    </xf>
    <xf numFmtId="0" fontId="56" fillId="0" borderId="1" xfId="0" applyFont="1" applyBorder="1" applyAlignment="1" applyProtection="1">
      <alignment horizontal="center" vertical="center" wrapText="1"/>
      <protection locked="0"/>
    </xf>
    <xf numFmtId="0" fontId="42" fillId="7" borderId="24" xfId="0" applyFont="1" applyFill="1" applyBorder="1" applyAlignment="1">
      <alignment horizontal="center" vertical="center" wrapText="1"/>
    </xf>
    <xf numFmtId="0" fontId="42" fillId="7" borderId="31" xfId="0" applyFont="1" applyFill="1" applyBorder="1" applyAlignment="1">
      <alignment horizontal="center" vertical="center" wrapText="1"/>
    </xf>
    <xf numFmtId="0" fontId="42" fillId="7" borderId="33" xfId="0" applyFont="1" applyFill="1" applyBorder="1" applyAlignment="1">
      <alignment horizontal="center" vertical="center" wrapText="1"/>
    </xf>
    <xf numFmtId="0" fontId="42" fillId="7" borderId="34" xfId="0" applyFont="1" applyFill="1" applyBorder="1" applyAlignment="1">
      <alignment horizontal="center" vertical="center" wrapText="1"/>
    </xf>
    <xf numFmtId="0" fontId="42" fillId="7" borderId="32" xfId="0" applyFont="1" applyFill="1" applyBorder="1" applyAlignment="1">
      <alignment horizontal="center" vertical="center" wrapText="1"/>
    </xf>
    <xf numFmtId="0" fontId="5" fillId="0" borderId="24" xfId="0" applyFont="1" applyBorder="1" applyAlignment="1">
      <alignment vertical="center" wrapText="1"/>
    </xf>
    <xf numFmtId="0" fontId="5" fillId="0" borderId="33" xfId="0" applyFont="1" applyBorder="1" applyAlignment="1">
      <alignment vertical="center" wrapText="1"/>
    </xf>
    <xf numFmtId="0" fontId="42" fillId="7" borderId="13" xfId="0" applyFont="1" applyFill="1" applyBorder="1" applyAlignment="1">
      <alignment horizontal="center" vertical="center" wrapText="1"/>
    </xf>
    <xf numFmtId="0" fontId="44" fillId="0" borderId="24" xfId="0" applyFont="1" applyBorder="1" applyAlignment="1">
      <alignment vertical="center" wrapText="1"/>
    </xf>
    <xf numFmtId="0" fontId="44" fillId="0" borderId="33" xfId="0" applyFont="1" applyBorder="1" applyAlignment="1">
      <alignment vertical="center" wrapText="1"/>
    </xf>
    <xf numFmtId="0" fontId="42" fillId="7" borderId="26" xfId="0" applyFont="1" applyFill="1" applyBorder="1" applyAlignment="1">
      <alignment horizontal="center" vertical="center" wrapText="1"/>
    </xf>
    <xf numFmtId="0" fontId="42" fillId="7" borderId="27" xfId="0" applyFont="1" applyFill="1" applyBorder="1" applyAlignment="1">
      <alignment horizontal="center" vertical="center" wrapText="1"/>
    </xf>
    <xf numFmtId="0" fontId="42" fillId="7" borderId="28" xfId="0" applyFont="1" applyFill="1" applyBorder="1" applyAlignment="1">
      <alignment horizontal="center" vertical="center" wrapText="1"/>
    </xf>
    <xf numFmtId="0" fontId="44" fillId="7" borderId="24" xfId="0" applyFont="1" applyFill="1" applyBorder="1" applyAlignment="1">
      <alignment horizontal="center" vertical="center" wrapText="1"/>
    </xf>
    <xf numFmtId="0" fontId="44" fillId="7" borderId="32" xfId="0" applyFont="1" applyFill="1" applyBorder="1" applyAlignment="1">
      <alignment horizontal="center" vertical="center" wrapText="1"/>
    </xf>
    <xf numFmtId="0" fontId="5" fillId="0" borderId="32" xfId="0" applyFont="1" applyBorder="1" applyAlignment="1">
      <alignment vertical="center" wrapText="1"/>
    </xf>
    <xf numFmtId="0" fontId="5" fillId="0" borderId="24" xfId="0" applyFont="1" applyBorder="1" applyAlignment="1">
      <alignment horizontal="center" vertical="center" wrapText="1"/>
    </xf>
    <xf numFmtId="0" fontId="5" fillId="0" borderId="32" xfId="0" applyFont="1" applyBorder="1" applyAlignment="1">
      <alignment horizontal="center" vertical="center" wrapText="1"/>
    </xf>
    <xf numFmtId="0" fontId="6" fillId="2" borderId="1" xfId="5" applyFont="1" applyFill="1" applyBorder="1" applyAlignment="1">
      <alignment horizontal="center" vertical="center"/>
    </xf>
    <xf numFmtId="0" fontId="19" fillId="0" borderId="18" xfId="0" applyFont="1" applyBorder="1" applyAlignment="1">
      <alignment horizontal="left" vertical="center" wrapText="1"/>
    </xf>
    <xf numFmtId="0" fontId="19" fillId="0" borderId="20" xfId="0" applyFont="1" applyBorder="1" applyAlignment="1">
      <alignment horizontal="left" vertical="center" wrapText="1"/>
    </xf>
    <xf numFmtId="0" fontId="19" fillId="0" borderId="18" xfId="0" applyFont="1" applyBorder="1" applyAlignment="1">
      <alignment horizontal="center" vertical="center" wrapText="1"/>
    </xf>
    <xf numFmtId="0" fontId="19" fillId="0" borderId="20" xfId="0" applyFont="1" applyBorder="1" applyAlignment="1">
      <alignment horizontal="center" vertical="center" wrapText="1"/>
    </xf>
    <xf numFmtId="0" fontId="20" fillId="2" borderId="1" xfId="0" applyFont="1" applyFill="1" applyBorder="1" applyAlignment="1">
      <alignment horizontal="left" vertical="center" wrapText="1"/>
    </xf>
    <xf numFmtId="0" fontId="20" fillId="7"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18" fillId="6" borderId="1" xfId="0" applyFont="1" applyFill="1" applyBorder="1" applyAlignment="1">
      <alignment horizontal="center" vertical="center" wrapText="1"/>
    </xf>
    <xf numFmtId="0" fontId="18" fillId="2" borderId="18" xfId="0" applyFont="1" applyFill="1" applyBorder="1" applyAlignment="1">
      <alignment horizontal="center" vertical="center" wrapText="1"/>
    </xf>
    <xf numFmtId="0" fontId="18" fillId="2" borderId="19" xfId="0" applyFont="1" applyFill="1" applyBorder="1" applyAlignment="1">
      <alignment horizontal="center" vertical="center" wrapText="1"/>
    </xf>
    <xf numFmtId="0" fontId="18" fillId="2" borderId="20" xfId="0" applyFont="1" applyFill="1" applyBorder="1" applyAlignment="1">
      <alignment horizontal="center" vertical="center" wrapText="1"/>
    </xf>
    <xf numFmtId="0" fontId="19" fillId="0" borderId="19" xfId="0" applyFont="1" applyBorder="1" applyAlignment="1">
      <alignment horizontal="left" vertical="center" wrapText="1"/>
    </xf>
    <xf numFmtId="0" fontId="19" fillId="0" borderId="19" xfId="0" applyFont="1" applyBorder="1" applyAlignment="1">
      <alignment horizontal="center" vertical="center" wrapText="1"/>
    </xf>
  </cellXfs>
  <cellStyles count="6">
    <cellStyle name="Normal" xfId="0" builtinId="0"/>
    <cellStyle name="Normal 2" xfId="1" xr:uid="{00000000-0005-0000-0000-000001000000}"/>
    <cellStyle name="Normal 2 2" xfId="4" xr:uid="{00000000-0005-0000-0000-000002000000}"/>
    <cellStyle name="Normal 3" xfId="3" xr:uid="{00000000-0005-0000-0000-000003000000}"/>
    <cellStyle name="Normal 3 3" xfId="2" xr:uid="{00000000-0005-0000-0000-000004000000}"/>
    <cellStyle name="Normal 4" xfId="5" xr:uid="{00000000-0005-0000-0000-000005000000}"/>
  </cellStyles>
  <dxfs count="20">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ont>
        <b/>
        <i val="0"/>
      </font>
      <fill>
        <patternFill>
          <bgColor rgb="FF92D050"/>
        </patternFill>
      </fill>
    </dxf>
    <dxf>
      <font>
        <b/>
        <i val="0"/>
      </font>
      <fill>
        <patternFill>
          <bgColor rgb="FFFFFF00"/>
        </patternFill>
      </fill>
    </dxf>
    <dxf>
      <font>
        <b/>
        <i val="0"/>
        <color theme="0"/>
      </font>
      <fill>
        <patternFill>
          <bgColor rgb="FFFF0000"/>
        </patternFill>
      </fill>
    </dxf>
    <dxf>
      <font>
        <b/>
        <i val="0"/>
      </font>
      <fill>
        <patternFill>
          <bgColor rgb="FF92D050"/>
        </patternFill>
      </fill>
    </dxf>
    <dxf>
      <font>
        <b/>
        <i val="0"/>
      </font>
      <fill>
        <patternFill>
          <bgColor rgb="FFFFFF00"/>
        </patternFill>
      </fill>
    </dxf>
    <dxf>
      <font>
        <b/>
        <i val="0"/>
        <color theme="0"/>
      </font>
      <fill>
        <patternFill>
          <bgColor rgb="FFFF0000"/>
        </patternFill>
      </fil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Arial"/>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000000"/>
        <name val="Arial"/>
        <scheme val="none"/>
      </font>
      <fill>
        <patternFill patternType="solid">
          <fgColor indexed="64"/>
          <bgColor rgb="FFFFFFFF"/>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9"/>
        <color theme="0"/>
        <name val="Arial"/>
        <scheme val="none"/>
      </font>
      <fill>
        <patternFill patternType="solid">
          <fgColor indexed="64"/>
          <bgColor rgb="FF2D649B"/>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0000FF"/>
      <color rgb="FFFF99FF"/>
      <color rgb="FFFF3399"/>
      <color rgb="FF99FFCC"/>
      <color rgb="FF861B89"/>
      <color rgb="FFF6D7F7"/>
      <color rgb="FF00FF00"/>
      <color rgb="FFD00244"/>
      <color rgb="FF2D649B"/>
      <color rgb="FF0000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56574</xdr:colOff>
      <xdr:row>1</xdr:row>
      <xdr:rowOff>180297</xdr:rowOff>
    </xdr:from>
    <xdr:to>
      <xdr:col>2</xdr:col>
      <xdr:colOff>1084</xdr:colOff>
      <xdr:row>4</xdr:row>
      <xdr:rowOff>149520</xdr:rowOff>
    </xdr:to>
    <xdr:pic>
      <xdr:nvPicPr>
        <xdr:cNvPr id="2" name="Imagen 1">
          <a:extLst>
            <a:ext uri="{FF2B5EF4-FFF2-40B4-BE49-F238E27FC236}">
              <a16:creationId xmlns:a16="http://schemas.microsoft.com/office/drawing/2014/main" id="{BEA80B98-4A6A-4D50-85DF-C3BBA598B1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370" t="31036" r="15337" b="33543"/>
        <a:stretch>
          <a:fillRect/>
        </a:stretch>
      </xdr:blipFill>
      <xdr:spPr bwMode="auto">
        <a:xfrm>
          <a:off x="301503" y="520476"/>
          <a:ext cx="3087760" cy="13163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cocentury.sharepoint.com/Users/eriverog/AppData/Local/Microsoft/Windows/INetCache/Content.Outlook/N0CV27VP/JU-SSO-STG-006.F02%20Matriz%20IPERC%20-%20LINEA%20BASE%20-%20COVID_19%20REVIS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U-SSO-STG-006.F02"/>
      <sheetName val="MATRIZ EVALUACIÓN"/>
      <sheetName val="LISTA P&amp;R"/>
      <sheetName val="PEL_RIESGOS"/>
      <sheetName val="PELIGROS"/>
      <sheetName val="JU-SSO-STG-006"/>
    </sheetNames>
    <sheetDataSet>
      <sheetData sheetId="0" refreshError="1"/>
      <sheetData sheetId="1" refreshError="1"/>
      <sheetData sheetId="2" refreshError="1"/>
      <sheetData sheetId="3" refreshError="1"/>
      <sheetData sheetId="4"/>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2" xr16:uid="{00000000-0016-0000-0300-000000000000}" autoFormatId="16" applyNumberFormats="0" applyBorderFormats="0" applyFontFormats="0" applyPatternFormats="0" applyAlignmentFormats="0" applyWidthHeightFormats="0">
  <queryTableRefresh nextId="7">
    <queryTableFields count="3">
      <queryTableField id="1" name="PELIGROS" tableColumnId="1"/>
      <queryTableField id="5" name="PELIGROS - Copia" tableColumnId="2"/>
      <queryTableField id="6" name="RIESGO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3" connectionId="1" xr16:uid="{00000000-0016-0000-0400-000001000000}" autoFormatId="16" applyNumberFormats="0" applyBorderFormats="0" applyFontFormats="0" applyPatternFormats="0" applyAlignmentFormats="0" applyWidthHeightFormats="0">
  <queryTableRefresh nextId="2">
    <queryTableFields count="1">
      <queryTableField id="1" name="PELIGROS"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a_Principal" displayName="Tabla_Principal" ref="D2:G81" totalsRowShown="0" headerRowDxfId="19" tableBorderDxfId="18">
  <autoFilter ref="D2:G81" xr:uid="{00000000-0009-0000-0100-000003000000}"/>
  <tableColumns count="4">
    <tableColumn id="1" xr3:uid="{00000000-0010-0000-0000-000001000000}" name="PELIGROS" dataDxfId="17">
      <calculatedColumnFormula>IF(C3="",D2,C3)</calculatedColumnFormula>
    </tableColumn>
    <tableColumn id="2" xr3:uid="{00000000-0010-0000-0000-000002000000}" name="RIESGOS"/>
    <tableColumn id="3" xr3:uid="{00000000-0010-0000-0000-000003000000}" name="CONSECUENCIAS" dataDxfId="16"/>
    <tableColumn id="4" xr3:uid="{00000000-0010-0000-0000-000004000000}" name="SEVERIDAD" dataDxfId="15"/>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eligros_Riesgos" displayName="Peligros_Riesgos" ref="A1:C80" tableType="queryTable" totalsRowShown="0">
  <autoFilter ref="A1:C80" xr:uid="{00000000-0009-0000-0100-000002000000}"/>
  <tableColumns count="3">
    <tableColumn id="1" xr3:uid="{00000000-0010-0000-0100-000001000000}" uniqueName="1" name="PELIGROS" queryTableFieldId="1" dataDxfId="14"/>
    <tableColumn id="2" xr3:uid="{00000000-0010-0000-0100-000002000000}" uniqueName="2" name="PELIGROS - Copia" queryTableFieldId="5" dataDxfId="13"/>
    <tableColumn id="3" xr3:uid="{00000000-0010-0000-0100-000003000000}" uniqueName="3" name="RIESGOS" queryTableFieldId="6" dataDxfId="1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Lista_Peligros" displayName="Lista_Peligros" ref="A1:A73" tableType="queryTable" totalsRowShown="0">
  <autoFilter ref="A1:A73" xr:uid="{00000000-0009-0000-0100-000001000000}"/>
  <tableColumns count="1">
    <tableColumn id="1" xr3:uid="{00000000-0010-0000-0200-000001000000}" uniqueName="1" name="PELIGROS" queryTableFieldId="1" dataDxfId="1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V131"/>
  <sheetViews>
    <sheetView showGridLines="0" view="pageBreakPreview" topLeftCell="D1" zoomScale="25" zoomScaleNormal="57" zoomScaleSheetLayoutView="25" workbookViewId="0">
      <selection activeCell="C3" sqref="C3:T5"/>
    </sheetView>
  </sheetViews>
  <sheetFormatPr baseColWidth="10" defaultColWidth="9.26953125" defaultRowHeight="25" x14ac:dyDescent="0.45"/>
  <cols>
    <col min="1" max="1" width="3.7265625" style="57" customWidth="1"/>
    <col min="2" max="2" width="47.7265625" style="56" customWidth="1"/>
    <col min="3" max="3" width="43.54296875" style="57" customWidth="1"/>
    <col min="4" max="4" width="28" style="58" customWidth="1"/>
    <col min="5" max="5" width="26.1796875" style="58" customWidth="1"/>
    <col min="6" max="6" width="21.453125" style="58" customWidth="1"/>
    <col min="7" max="7" width="42.54296875" style="57" customWidth="1"/>
    <col min="8" max="8" width="34.453125" style="57" customWidth="1"/>
    <col min="9" max="9" width="30.26953125" style="87" customWidth="1"/>
    <col min="10" max="10" width="26.54296875" style="87" customWidth="1"/>
    <col min="11" max="11" width="41.26953125" style="59" customWidth="1"/>
    <col min="12" max="12" width="27.453125" style="59" customWidth="1"/>
    <col min="13" max="13" width="30.54296875" style="59" customWidth="1"/>
    <col min="14" max="14" width="65.81640625" style="59" customWidth="1"/>
    <col min="15" max="15" width="123.1796875" style="59" customWidth="1"/>
    <col min="16" max="16" width="93.26953125" style="57" customWidth="1"/>
    <col min="17" max="18" width="10.453125" style="60" customWidth="1"/>
    <col min="19" max="19" width="26.7265625" style="61" customWidth="1"/>
    <col min="20" max="20" width="36.7265625" style="57" customWidth="1"/>
    <col min="21" max="21" width="33.81640625" style="57" customWidth="1"/>
    <col min="22" max="22" width="33.453125" style="57" customWidth="1"/>
    <col min="23" max="16384" width="9.26953125" style="57"/>
  </cols>
  <sheetData>
    <row r="1" spans="2:22" ht="25.5" thickBot="1" x14ac:dyDescent="0.5"/>
    <row r="2" spans="2:22" s="62" customFormat="1" ht="45" customHeight="1" x14ac:dyDescent="0.35">
      <c r="B2" s="277"/>
      <c r="C2" s="282" t="s">
        <v>0</v>
      </c>
      <c r="D2" s="283"/>
      <c r="E2" s="283"/>
      <c r="F2" s="283"/>
      <c r="G2" s="283"/>
      <c r="H2" s="283"/>
      <c r="I2" s="283"/>
      <c r="J2" s="283"/>
      <c r="K2" s="283"/>
      <c r="L2" s="283"/>
      <c r="M2" s="283"/>
      <c r="N2" s="283"/>
      <c r="O2" s="283"/>
      <c r="P2" s="283"/>
      <c r="Q2" s="283"/>
      <c r="R2" s="283"/>
      <c r="S2" s="283"/>
      <c r="T2" s="284"/>
      <c r="U2" s="294" t="s">
        <v>710</v>
      </c>
      <c r="V2" s="295"/>
    </row>
    <row r="3" spans="2:22" s="62" customFormat="1" ht="38.25" customHeight="1" x14ac:dyDescent="0.35">
      <c r="B3" s="278"/>
      <c r="C3" s="285" t="s">
        <v>1</v>
      </c>
      <c r="D3" s="286"/>
      <c r="E3" s="286"/>
      <c r="F3" s="286"/>
      <c r="G3" s="286"/>
      <c r="H3" s="286"/>
      <c r="I3" s="286"/>
      <c r="J3" s="286"/>
      <c r="K3" s="286"/>
      <c r="L3" s="286"/>
      <c r="M3" s="286"/>
      <c r="N3" s="286"/>
      <c r="O3" s="286"/>
      <c r="P3" s="286"/>
      <c r="Q3" s="286"/>
      <c r="R3" s="286"/>
      <c r="S3" s="286"/>
      <c r="T3" s="287"/>
      <c r="U3" s="296" t="s">
        <v>712</v>
      </c>
      <c r="V3" s="297"/>
    </row>
    <row r="4" spans="2:22" s="62" customFormat="1" ht="22.5" customHeight="1" x14ac:dyDescent="0.35">
      <c r="B4" s="278"/>
      <c r="C4" s="288"/>
      <c r="D4" s="289"/>
      <c r="E4" s="289"/>
      <c r="F4" s="289"/>
      <c r="G4" s="289"/>
      <c r="H4" s="289"/>
      <c r="I4" s="289"/>
      <c r="J4" s="289"/>
      <c r="K4" s="289"/>
      <c r="L4" s="289"/>
      <c r="M4" s="289"/>
      <c r="N4" s="289"/>
      <c r="O4" s="289"/>
      <c r="P4" s="289"/>
      <c r="Q4" s="289"/>
      <c r="R4" s="289"/>
      <c r="S4" s="289"/>
      <c r="T4" s="290"/>
      <c r="U4" s="296" t="s">
        <v>713</v>
      </c>
      <c r="V4" s="297"/>
    </row>
    <row r="5" spans="2:22" s="62" customFormat="1" ht="25.5" customHeight="1" thickBot="1" x14ac:dyDescent="0.4">
      <c r="B5" s="279"/>
      <c r="C5" s="291"/>
      <c r="D5" s="292"/>
      <c r="E5" s="292"/>
      <c r="F5" s="292"/>
      <c r="G5" s="292"/>
      <c r="H5" s="292"/>
      <c r="I5" s="292"/>
      <c r="J5" s="292"/>
      <c r="K5" s="292"/>
      <c r="L5" s="292"/>
      <c r="M5" s="292"/>
      <c r="N5" s="292"/>
      <c r="O5" s="292"/>
      <c r="P5" s="292"/>
      <c r="Q5" s="292"/>
      <c r="R5" s="292"/>
      <c r="S5" s="292"/>
      <c r="T5" s="293"/>
      <c r="U5" s="298" t="s">
        <v>2</v>
      </c>
      <c r="V5" s="299"/>
    </row>
    <row r="6" spans="2:22" x14ac:dyDescent="0.45">
      <c r="S6" s="57"/>
    </row>
    <row r="7" spans="2:22" ht="34.5" customHeight="1" x14ac:dyDescent="0.45">
      <c r="B7" s="275" t="s">
        <v>709</v>
      </c>
      <c r="C7" s="276"/>
      <c r="D7" s="63"/>
      <c r="E7" s="63"/>
      <c r="F7" s="63"/>
      <c r="G7" s="64"/>
      <c r="H7" s="63"/>
      <c r="I7" s="88"/>
      <c r="J7" s="88"/>
      <c r="K7" s="63"/>
      <c r="L7" s="63"/>
      <c r="M7" s="63"/>
      <c r="N7" s="63"/>
      <c r="O7" s="65"/>
      <c r="P7" s="66"/>
      <c r="Q7" s="65"/>
      <c r="R7" s="65"/>
      <c r="S7" s="65"/>
      <c r="T7" s="66"/>
      <c r="U7" s="66"/>
      <c r="V7" s="67"/>
    </row>
    <row r="8" spans="2:22" ht="34.5" customHeight="1" x14ac:dyDescent="0.45">
      <c r="B8" s="126" t="s">
        <v>460</v>
      </c>
      <c r="C8" s="132" t="s">
        <v>700</v>
      </c>
      <c r="D8" s="63"/>
      <c r="E8" s="63"/>
      <c r="F8" s="63"/>
      <c r="G8" s="64"/>
      <c r="H8" s="63"/>
      <c r="I8" s="88"/>
      <c r="J8" s="88"/>
      <c r="K8" s="63"/>
      <c r="L8" s="63"/>
      <c r="M8" s="63"/>
      <c r="N8" s="63"/>
      <c r="O8" s="65"/>
      <c r="P8" s="66"/>
      <c r="Q8" s="65"/>
      <c r="R8" s="65"/>
      <c r="S8" s="65"/>
      <c r="T8" s="66"/>
      <c r="U8" s="66"/>
      <c r="V8" s="67"/>
    </row>
    <row r="9" spans="2:22" ht="45.75" customHeight="1" x14ac:dyDescent="0.45">
      <c r="B9" s="126" t="s">
        <v>459</v>
      </c>
      <c r="C9" s="132" t="s">
        <v>714</v>
      </c>
      <c r="D9" s="63"/>
      <c r="E9" s="63"/>
      <c r="F9" s="63"/>
      <c r="G9" s="64"/>
      <c r="H9" s="63"/>
      <c r="I9" s="88"/>
      <c r="J9" s="88"/>
      <c r="K9" s="63"/>
      <c r="L9" s="63"/>
      <c r="M9" s="63"/>
      <c r="N9" s="63"/>
      <c r="O9" s="65"/>
      <c r="P9" s="135"/>
      <c r="Q9" s="134"/>
      <c r="R9" s="134"/>
      <c r="S9" s="134"/>
      <c r="T9" s="135"/>
      <c r="U9" s="135"/>
      <c r="V9" s="67"/>
    </row>
    <row r="10" spans="2:22" ht="56.25" customHeight="1" x14ac:dyDescent="0.45">
      <c r="B10" s="126" t="s">
        <v>458</v>
      </c>
      <c r="C10" s="132" t="s">
        <v>711</v>
      </c>
      <c r="E10" s="19"/>
      <c r="F10" s="19"/>
      <c r="G10" s="20"/>
      <c r="H10" s="21"/>
      <c r="I10" s="88"/>
      <c r="J10" s="88"/>
      <c r="K10" s="63"/>
      <c r="L10" s="63"/>
      <c r="M10" s="63"/>
      <c r="N10" s="63"/>
      <c r="O10" s="68"/>
      <c r="P10" s="135"/>
      <c r="Q10" s="137"/>
      <c r="R10" s="137"/>
      <c r="S10" s="136"/>
      <c r="T10" s="135"/>
      <c r="U10" s="135"/>
      <c r="V10" s="66"/>
    </row>
    <row r="11" spans="2:22" ht="42" customHeight="1" x14ac:dyDescent="0.45">
      <c r="B11" s="126" t="s">
        <v>5</v>
      </c>
      <c r="C11" s="139">
        <v>44682</v>
      </c>
      <c r="E11" s="19"/>
      <c r="F11" s="19"/>
      <c r="G11" s="20"/>
      <c r="H11" s="118"/>
      <c r="J11" s="281" t="s">
        <v>461</v>
      </c>
      <c r="K11" s="281"/>
      <c r="L11" s="127" t="s">
        <v>6</v>
      </c>
      <c r="M11" s="127" t="s">
        <v>7</v>
      </c>
      <c r="N11" s="94" t="s">
        <v>8</v>
      </c>
      <c r="P11" s="280" t="s">
        <v>3</v>
      </c>
      <c r="Q11" s="280"/>
      <c r="R11" s="280"/>
      <c r="S11" s="280"/>
      <c r="T11" s="280"/>
      <c r="U11" s="280"/>
      <c r="V11" s="66"/>
    </row>
    <row r="12" spans="2:22" ht="61.5" customHeight="1" x14ac:dyDescent="0.45">
      <c r="B12" s="126" t="s">
        <v>9</v>
      </c>
      <c r="C12" s="139">
        <v>46109</v>
      </c>
      <c r="D12" s="70"/>
      <c r="E12" s="19"/>
      <c r="F12" s="19"/>
      <c r="G12" s="20"/>
      <c r="H12" s="274"/>
      <c r="J12" s="271" t="s">
        <v>701</v>
      </c>
      <c r="K12" s="271"/>
      <c r="L12" s="128" t="s">
        <v>631</v>
      </c>
      <c r="M12" s="138" t="s">
        <v>10</v>
      </c>
      <c r="N12" s="71"/>
      <c r="P12" s="270" t="s">
        <v>462</v>
      </c>
      <c r="Q12" s="270"/>
      <c r="R12" s="270"/>
      <c r="S12" s="270"/>
      <c r="T12" s="270"/>
      <c r="U12" s="270"/>
      <c r="V12" s="72"/>
    </row>
    <row r="13" spans="2:22" ht="49.5" customHeight="1" x14ac:dyDescent="0.45">
      <c r="B13" s="80"/>
      <c r="C13" s="73"/>
      <c r="D13" s="70"/>
      <c r="E13" s="22"/>
      <c r="F13" s="22"/>
      <c r="G13" s="23"/>
      <c r="H13" s="274"/>
      <c r="J13" s="271" t="s">
        <v>702</v>
      </c>
      <c r="K13" s="271"/>
      <c r="L13" s="128" t="s">
        <v>703</v>
      </c>
      <c r="M13" s="129" t="s">
        <v>706</v>
      </c>
      <c r="N13" s="71"/>
      <c r="O13" s="59" t="s">
        <v>708</v>
      </c>
      <c r="P13" s="270" t="s">
        <v>463</v>
      </c>
      <c r="Q13" s="270"/>
      <c r="R13" s="270"/>
      <c r="S13" s="270"/>
      <c r="T13" s="270"/>
      <c r="U13" s="270"/>
      <c r="V13" s="72"/>
    </row>
    <row r="14" spans="2:22" ht="54" customHeight="1" x14ac:dyDescent="0.45">
      <c r="B14" s="54"/>
      <c r="C14" s="73"/>
      <c r="D14" s="70"/>
      <c r="E14" s="22"/>
      <c r="F14" s="22"/>
      <c r="G14" s="23"/>
      <c r="H14" s="119"/>
      <c r="J14" s="271" t="s">
        <v>704</v>
      </c>
      <c r="K14" s="271" t="s">
        <v>12</v>
      </c>
      <c r="L14" s="128" t="s">
        <v>707</v>
      </c>
      <c r="M14" s="129" t="s">
        <v>705</v>
      </c>
      <c r="N14" s="71"/>
      <c r="P14" s="270" t="s">
        <v>464</v>
      </c>
      <c r="Q14" s="270"/>
      <c r="R14" s="270"/>
      <c r="S14" s="270"/>
      <c r="T14" s="270"/>
      <c r="U14" s="270"/>
      <c r="V14" s="72"/>
    </row>
    <row r="15" spans="2:22" ht="55.5" customHeight="1" x14ac:dyDescent="0.45">
      <c r="B15" s="54"/>
      <c r="C15" s="73"/>
      <c r="D15" s="70"/>
      <c r="E15" s="22"/>
      <c r="F15" s="22"/>
      <c r="G15" s="23"/>
      <c r="H15" s="273"/>
      <c r="J15" s="271"/>
      <c r="K15" s="271"/>
      <c r="L15" s="130"/>
      <c r="M15" s="130"/>
      <c r="N15" s="93"/>
      <c r="P15" s="270" t="s">
        <v>465</v>
      </c>
      <c r="Q15" s="270"/>
      <c r="R15" s="270"/>
      <c r="S15" s="270"/>
      <c r="T15" s="270"/>
      <c r="U15" s="270"/>
      <c r="V15" s="72"/>
    </row>
    <row r="16" spans="2:22" ht="68.25" customHeight="1" x14ac:dyDescent="0.45">
      <c r="B16" s="54"/>
      <c r="C16" s="73"/>
      <c r="D16" s="70"/>
      <c r="E16" s="22"/>
      <c r="F16" s="22"/>
      <c r="G16" s="23"/>
      <c r="H16" s="273"/>
      <c r="J16" s="271"/>
      <c r="K16" s="271"/>
      <c r="L16" s="129"/>
      <c r="M16" s="129"/>
      <c r="N16" s="75"/>
      <c r="P16" s="270" t="s">
        <v>634</v>
      </c>
      <c r="Q16" s="270"/>
      <c r="R16" s="270"/>
      <c r="S16" s="270"/>
      <c r="T16" s="270"/>
      <c r="U16" s="270"/>
      <c r="V16" s="72"/>
    </row>
    <row r="17" spans="1:22" ht="55.5" customHeight="1" x14ac:dyDescent="0.45">
      <c r="B17" s="54"/>
      <c r="C17" s="73"/>
      <c r="D17" s="70"/>
      <c r="E17" s="22"/>
      <c r="F17" s="22"/>
      <c r="G17" s="23"/>
      <c r="H17" s="89"/>
      <c r="I17" s="90"/>
      <c r="L17" s="91"/>
      <c r="M17" s="92"/>
      <c r="N17" s="69"/>
      <c r="O17" s="68"/>
      <c r="P17" s="72"/>
      <c r="Q17" s="82"/>
      <c r="R17" s="82"/>
      <c r="S17" s="68"/>
      <c r="T17" s="72"/>
      <c r="U17" s="72"/>
      <c r="V17" s="72"/>
    </row>
    <row r="18" spans="1:22" ht="24" customHeight="1" thickBot="1" x14ac:dyDescent="0.55000000000000004">
      <c r="B18" s="142"/>
      <c r="C18" s="143"/>
      <c r="D18" s="144"/>
      <c r="E18" s="144"/>
      <c r="F18" s="144"/>
      <c r="G18" s="145"/>
      <c r="H18" s="143"/>
      <c r="I18" s="272" t="s">
        <v>13</v>
      </c>
      <c r="J18" s="272"/>
      <c r="K18" s="272"/>
      <c r="L18" s="267" t="s">
        <v>14</v>
      </c>
      <c r="M18" s="268"/>
      <c r="N18" s="268"/>
      <c r="O18" s="268"/>
      <c r="P18" s="269"/>
      <c r="Q18" s="267" t="s">
        <v>15</v>
      </c>
      <c r="R18" s="268"/>
      <c r="S18" s="268"/>
      <c r="T18" s="143"/>
      <c r="U18" s="143"/>
      <c r="V18" s="143"/>
    </row>
    <row r="19" spans="1:22" s="76" customFormat="1" ht="83.25" customHeight="1" thickBot="1" x14ac:dyDescent="0.3">
      <c r="B19" s="146" t="s">
        <v>16</v>
      </c>
      <c r="C19" s="147" t="s">
        <v>17</v>
      </c>
      <c r="D19" s="148" t="s">
        <v>18</v>
      </c>
      <c r="E19" s="149" t="s">
        <v>19</v>
      </c>
      <c r="F19" s="149" t="s">
        <v>466</v>
      </c>
      <c r="G19" s="150" t="s">
        <v>20</v>
      </c>
      <c r="H19" s="151" t="s">
        <v>21</v>
      </c>
      <c r="I19" s="152" t="s">
        <v>22</v>
      </c>
      <c r="J19" s="150" t="s">
        <v>23</v>
      </c>
      <c r="K19" s="152" t="s">
        <v>24</v>
      </c>
      <c r="L19" s="153" t="s">
        <v>25</v>
      </c>
      <c r="M19" s="153" t="s">
        <v>4</v>
      </c>
      <c r="N19" s="152" t="s">
        <v>26</v>
      </c>
      <c r="O19" s="152" t="s">
        <v>11</v>
      </c>
      <c r="P19" s="152" t="s">
        <v>27</v>
      </c>
      <c r="Q19" s="154" t="s">
        <v>28</v>
      </c>
      <c r="R19" s="154" t="s">
        <v>29</v>
      </c>
      <c r="S19" s="154" t="s">
        <v>30</v>
      </c>
      <c r="T19" s="149" t="s">
        <v>31</v>
      </c>
      <c r="U19" s="155" t="s">
        <v>467</v>
      </c>
      <c r="V19" s="155" t="s">
        <v>468</v>
      </c>
    </row>
    <row r="20" spans="1:22" s="77" customFormat="1" ht="280.5" customHeight="1" x14ac:dyDescent="0.25">
      <c r="B20" s="233" t="s">
        <v>635</v>
      </c>
      <c r="C20" s="235" t="s">
        <v>715</v>
      </c>
      <c r="D20" s="235" t="s">
        <v>676</v>
      </c>
      <c r="E20" s="235" t="s">
        <v>716</v>
      </c>
      <c r="F20" s="203" t="s">
        <v>612</v>
      </c>
      <c r="G20" s="185" t="s">
        <v>40</v>
      </c>
      <c r="H20" s="188" t="s">
        <v>41</v>
      </c>
      <c r="I20" s="159" t="s">
        <v>33</v>
      </c>
      <c r="J20" s="160">
        <v>4</v>
      </c>
      <c r="K20" s="161" t="str">
        <f>IFERROR(INDEX('Matriz de evaluación'!$B$4:$F$8, J20, MATCH(I20, {"A","B","C","D","E"}, 0)), "")</f>
        <v>14 
MEDIO</v>
      </c>
      <c r="L20" s="166"/>
      <c r="M20" s="166"/>
      <c r="N20" s="187" t="s">
        <v>723</v>
      </c>
      <c r="O20" s="200" t="s">
        <v>722</v>
      </c>
      <c r="P20" s="187"/>
      <c r="Q20" s="186" t="s">
        <v>34</v>
      </c>
      <c r="R20" s="186">
        <v>4</v>
      </c>
      <c r="S20" s="160" t="str">
        <f>IFERROR(INDEX('Matriz de evaluación'!$B$4:$F$8, R20, MATCH(Q20, {"A","B","C","D","E"}, 0)), "")</f>
        <v>18 
BAJO</v>
      </c>
      <c r="T20" s="187"/>
      <c r="U20" s="168"/>
      <c r="V20" s="168"/>
    </row>
    <row r="21" spans="1:22" s="77" customFormat="1" ht="226.5" customHeight="1" x14ac:dyDescent="0.25">
      <c r="B21" s="233"/>
      <c r="C21" s="235"/>
      <c r="D21" s="235"/>
      <c r="E21" s="235"/>
      <c r="F21" s="193" t="s">
        <v>587</v>
      </c>
      <c r="G21" s="196" t="s">
        <v>334</v>
      </c>
      <c r="H21" s="194" t="s">
        <v>588</v>
      </c>
      <c r="I21" s="159" t="s">
        <v>37</v>
      </c>
      <c r="J21" s="160">
        <v>5</v>
      </c>
      <c r="K21" s="161" t="str">
        <f>IFERROR(INDEX('Matriz de evaluación'!$B$4:$F$8, J21, MATCH(I21, {"A","B","C","D","E"}, 0)), "")</f>
        <v>24 
BAJO</v>
      </c>
      <c r="L21" s="162"/>
      <c r="M21" s="162"/>
      <c r="N21" s="163"/>
      <c r="O21" s="201" t="s">
        <v>720</v>
      </c>
      <c r="P21" s="163"/>
      <c r="Q21" s="159" t="s">
        <v>37</v>
      </c>
      <c r="R21" s="159">
        <v>5</v>
      </c>
      <c r="S21" s="160" t="str">
        <f>IFERROR(INDEX('Matriz de evaluación'!$B$4:$F$8, R21, MATCH(Q21, {"A","B","C","D","E"}, 0)), "")</f>
        <v>24 
BAJO</v>
      </c>
      <c r="T21" s="163"/>
      <c r="U21" s="159"/>
      <c r="V21" s="159"/>
    </row>
    <row r="22" spans="1:22" s="77" customFormat="1" ht="283.5" customHeight="1" x14ac:dyDescent="0.25">
      <c r="B22" s="233"/>
      <c r="C22" s="235"/>
      <c r="D22" s="235"/>
      <c r="E22" s="235"/>
      <c r="F22" s="204" t="s">
        <v>503</v>
      </c>
      <c r="G22" s="192" t="s">
        <v>67</v>
      </c>
      <c r="H22" s="158" t="s">
        <v>53</v>
      </c>
      <c r="I22" s="159" t="s">
        <v>34</v>
      </c>
      <c r="J22" s="160">
        <v>4</v>
      </c>
      <c r="K22" s="161" t="str">
        <f>IFERROR(INDEX('Matriz de evaluación'!$B$4:$F$8, J22, MATCH(I22, {"A","B","C","D","E"}, 0)), "")</f>
        <v>18 
BAJO</v>
      </c>
      <c r="L22" s="162"/>
      <c r="M22" s="162"/>
      <c r="N22" s="163" t="s">
        <v>721</v>
      </c>
      <c r="O22" s="163"/>
      <c r="P22" s="163" t="s">
        <v>719</v>
      </c>
      <c r="Q22" s="159" t="s">
        <v>37</v>
      </c>
      <c r="R22" s="159">
        <v>4</v>
      </c>
      <c r="S22" s="160" t="str">
        <f>IFERROR(INDEX('Matriz de evaluación'!$B$4:$F$8, R22, MATCH(Q22, {"A","B","C","D","E"}, 0)), "")</f>
        <v>21 
BAJO</v>
      </c>
      <c r="T22" s="163"/>
      <c r="U22" s="159"/>
      <c r="V22" s="159"/>
    </row>
    <row r="23" spans="1:22" s="77" customFormat="1" ht="331.5" customHeight="1" x14ac:dyDescent="0.25">
      <c r="B23" s="233"/>
      <c r="C23" s="235"/>
      <c r="D23" s="235"/>
      <c r="E23" s="235"/>
      <c r="F23" s="199" t="s">
        <v>477</v>
      </c>
      <c r="G23" s="196" t="s">
        <v>42</v>
      </c>
      <c r="H23" s="194" t="s">
        <v>43</v>
      </c>
      <c r="I23" s="159" t="s">
        <v>37</v>
      </c>
      <c r="J23" s="160">
        <v>3</v>
      </c>
      <c r="K23" s="161" t="str">
        <f>IFERROR(INDEX('Matriz de evaluación'!$B$4:$F$8, J23, MATCH(I23, {"A","B","C","D","E"}, 0)), "")</f>
        <v>17 
BAJO</v>
      </c>
      <c r="L23" s="162"/>
      <c r="M23" s="162"/>
      <c r="N23" s="163"/>
      <c r="O23" s="157" t="s">
        <v>724</v>
      </c>
      <c r="P23" s="163"/>
      <c r="Q23" s="159" t="s">
        <v>37</v>
      </c>
      <c r="R23" s="159">
        <v>4</v>
      </c>
      <c r="S23" s="160" t="str">
        <f>IFERROR(INDEX('Matriz de evaluación'!$B$4:$F$8, R23, MATCH(Q23, {"A","B","C","D","E"}, 0)), "")</f>
        <v>21 
BAJO</v>
      </c>
      <c r="T23" s="163"/>
      <c r="U23" s="159"/>
      <c r="V23" s="159"/>
    </row>
    <row r="24" spans="1:22" s="77" customFormat="1" ht="286.5" customHeight="1" x14ac:dyDescent="0.25">
      <c r="B24" s="233"/>
      <c r="C24" s="235"/>
      <c r="D24" s="235"/>
      <c r="E24" s="235"/>
      <c r="F24" s="156" t="s">
        <v>584</v>
      </c>
      <c r="G24" s="164" t="s">
        <v>585</v>
      </c>
      <c r="H24" s="158" t="s">
        <v>329</v>
      </c>
      <c r="I24" s="159" t="s">
        <v>34</v>
      </c>
      <c r="J24" s="160">
        <f>IFERROR(VALUE(SUBSTITUTE(SUBSTITUTE(INDEX('LIST P&amp;R'!G:G,MATCH(F24,'LIST P&amp;R'!C:C,0)),")",""),"(", "")),"")</f>
        <v>4</v>
      </c>
      <c r="K24" s="161" t="str">
        <f>IFERROR(INDEX('Matriz de evaluación'!$B$4:$F$8, J24, MATCH(I24, {"A","B","C","D","E"}, 0)), "")</f>
        <v>18 
BAJO</v>
      </c>
      <c r="L24" s="162"/>
      <c r="M24" s="162"/>
      <c r="N24" s="163"/>
      <c r="O24" s="163" t="s">
        <v>681</v>
      </c>
      <c r="P24" s="163"/>
      <c r="Q24" s="159" t="s">
        <v>37</v>
      </c>
      <c r="R24" s="159">
        <v>4</v>
      </c>
      <c r="S24" s="160" t="str">
        <f>IFERROR(INDEX('Matriz de evaluación'!$B$4:$F$8, R24, MATCH(Q24, {"A","B","C","D","E"}, 0)), "")</f>
        <v>21 
BAJO</v>
      </c>
      <c r="T24" s="163"/>
      <c r="U24" s="159"/>
      <c r="V24" s="159"/>
    </row>
    <row r="25" spans="1:22" s="77" customFormat="1" ht="289.5" customHeight="1" x14ac:dyDescent="0.25">
      <c r="B25" s="233"/>
      <c r="C25" s="236"/>
      <c r="D25" s="236"/>
      <c r="E25" s="236"/>
      <c r="F25" s="197" t="s">
        <v>565</v>
      </c>
      <c r="G25" s="198" t="s">
        <v>566</v>
      </c>
      <c r="H25" s="192" t="s">
        <v>718</v>
      </c>
      <c r="I25" s="159" t="s">
        <v>34</v>
      </c>
      <c r="J25" s="160">
        <v>4</v>
      </c>
      <c r="K25" s="161" t="str">
        <f>IFERROR(INDEX('Matriz de evaluación'!$B$4:$F$8, J25, MATCH(I25, {"A","B","C","D","E"}, 0)), "")</f>
        <v>18 
BAJO</v>
      </c>
      <c r="L25" s="162"/>
      <c r="M25" s="162"/>
      <c r="N25" s="163"/>
      <c r="O25" s="163" t="s">
        <v>680</v>
      </c>
      <c r="P25" s="163"/>
      <c r="Q25" s="159" t="s">
        <v>37</v>
      </c>
      <c r="R25" s="159">
        <v>4</v>
      </c>
      <c r="S25" s="160" t="str">
        <f>IFERROR(INDEX('Matriz de evaluación'!$B$4:$F$8, R25, MATCH(Q25, {"A","B","C","D","E"}, 0)), "")</f>
        <v>21 
BAJO</v>
      </c>
      <c r="T25" s="163"/>
      <c r="U25" s="159"/>
      <c r="V25" s="159"/>
    </row>
    <row r="26" spans="1:22" s="77" customFormat="1" ht="409.6" customHeight="1" x14ac:dyDescent="0.25">
      <c r="A26" s="189"/>
      <c r="B26" s="233"/>
      <c r="C26" s="237" t="s">
        <v>636</v>
      </c>
      <c r="D26" s="237" t="s">
        <v>637</v>
      </c>
      <c r="E26" s="246" t="s">
        <v>638</v>
      </c>
      <c r="F26" s="204" t="s">
        <v>503</v>
      </c>
      <c r="G26" s="192" t="s">
        <v>67</v>
      </c>
      <c r="H26" s="158" t="s">
        <v>53</v>
      </c>
      <c r="I26" s="195" t="s">
        <v>34</v>
      </c>
      <c r="J26" s="160">
        <f>IFERROR(VALUE(SUBSTITUTE(SUBSTITUTE(INDEX('LIST P&amp;R'!G:G,MATCH(F26,'LIST P&amp;R'!C:C,0)),")",""),"(", "")),"")</f>
        <v>4</v>
      </c>
      <c r="K26" s="161" t="str">
        <f>IFERROR(INDEX('Matriz de evaluación'!$B$4:$F$8, J26, MATCH(I26, {"A","B","C","D","E"}, 0)), "")</f>
        <v>18 
BAJO</v>
      </c>
      <c r="L26" s="162"/>
      <c r="M26" s="162"/>
      <c r="N26" s="163" t="s">
        <v>645</v>
      </c>
      <c r="O26" s="163" t="s">
        <v>646</v>
      </c>
      <c r="P26" s="163" t="s">
        <v>647</v>
      </c>
      <c r="Q26" s="159" t="s">
        <v>37</v>
      </c>
      <c r="R26" s="159">
        <v>4</v>
      </c>
      <c r="S26" s="160" t="str">
        <f>IFERROR(INDEX('Matriz de evaluación'!$B$4:$F$8, R26, MATCH(Q26, {"A","B","C","D","E"}, 0)), "")</f>
        <v>21 
BAJO</v>
      </c>
      <c r="T26" s="163" t="s">
        <v>648</v>
      </c>
      <c r="U26" s="159" t="s">
        <v>649</v>
      </c>
      <c r="V26" s="159" t="s">
        <v>650</v>
      </c>
    </row>
    <row r="27" spans="1:22" s="77" customFormat="1" ht="357.75" customHeight="1" x14ac:dyDescent="0.25">
      <c r="A27" s="189"/>
      <c r="B27" s="233"/>
      <c r="C27" s="238"/>
      <c r="D27" s="238"/>
      <c r="E27" s="235"/>
      <c r="F27" s="156" t="s">
        <v>491</v>
      </c>
      <c r="G27" s="164" t="s">
        <v>492</v>
      </c>
      <c r="H27" s="158" t="s">
        <v>49</v>
      </c>
      <c r="I27" s="159" t="s">
        <v>34</v>
      </c>
      <c r="J27" s="160">
        <f>IFERROR(VALUE(SUBSTITUTE(SUBSTITUTE(INDEX('LIST P&amp;R'!G:G,MATCH(F27,'LIST P&amp;R'!C:C,0)),")",""),"(", "")),"")</f>
        <v>4</v>
      </c>
      <c r="K27" s="161" t="str">
        <f>IFERROR(INDEX('Matriz de evaluación'!$B$4:$F$8, J27, MATCH(I27, {"A","B","C","D","E"}, 0)), "")</f>
        <v>18 
BAJO</v>
      </c>
      <c r="L27" s="162"/>
      <c r="M27" s="162"/>
      <c r="N27" s="163" t="s">
        <v>645</v>
      </c>
      <c r="O27" s="163" t="s">
        <v>725</v>
      </c>
      <c r="P27" s="163" t="s">
        <v>652</v>
      </c>
      <c r="Q27" s="159" t="s">
        <v>37</v>
      </c>
      <c r="R27" s="159">
        <v>4</v>
      </c>
      <c r="S27" s="160" t="str">
        <f>IFERROR(INDEX('Matriz de evaluación'!$B$4:$F$8, R27, MATCH(Q27, {"A","B","C","D","E"}, 0)), "")</f>
        <v>21 
BAJO</v>
      </c>
      <c r="T27" s="165"/>
      <c r="U27" s="159"/>
      <c r="V27" s="159"/>
    </row>
    <row r="28" spans="1:22" s="77" customFormat="1" ht="208.5" customHeight="1" x14ac:dyDescent="0.25">
      <c r="A28" s="189"/>
      <c r="B28" s="233"/>
      <c r="C28" s="238"/>
      <c r="D28" s="239"/>
      <c r="E28" s="236"/>
      <c r="F28" s="156" t="s">
        <v>558</v>
      </c>
      <c r="G28" s="164" t="s">
        <v>54</v>
      </c>
      <c r="H28" s="158" t="s">
        <v>55</v>
      </c>
      <c r="I28" s="159" t="s">
        <v>34</v>
      </c>
      <c r="J28" s="160">
        <f>IFERROR(VALUE(SUBSTITUTE(SUBSTITUTE(INDEX('LIST P&amp;R'!G:G,MATCH(F28,'LIST P&amp;R'!C:C,0)),")",""),"(", "")),"")</f>
        <v>3</v>
      </c>
      <c r="K28" s="161" t="str">
        <f>IFERROR(INDEX('Matriz de evaluación'!$B$4:$F$8, J28, MATCH(I28, {"A","B","C","D","E"}, 0)), "")</f>
        <v>13 
MEDIO</v>
      </c>
      <c r="L28" s="162"/>
      <c r="M28" s="162"/>
      <c r="N28" s="163"/>
      <c r="O28" s="163" t="s">
        <v>38</v>
      </c>
      <c r="P28" s="163" t="s">
        <v>653</v>
      </c>
      <c r="Q28" s="159" t="s">
        <v>37</v>
      </c>
      <c r="R28" s="159">
        <v>3</v>
      </c>
      <c r="S28" s="160" t="str">
        <f>IFERROR(INDEX('Matriz de evaluación'!$B$4:$F$8, R28, MATCH(Q28, {"A","B","C","D","E"}, 0)), "")</f>
        <v>17 
BAJO</v>
      </c>
      <c r="T28" s="165"/>
      <c r="U28" s="159"/>
      <c r="V28" s="159"/>
    </row>
    <row r="29" spans="1:22" s="77" customFormat="1" ht="324" customHeight="1" x14ac:dyDescent="0.25">
      <c r="A29" s="189"/>
      <c r="B29" s="233"/>
      <c r="C29" s="238"/>
      <c r="D29" s="237" t="s">
        <v>654</v>
      </c>
      <c r="E29" s="246" t="s">
        <v>638</v>
      </c>
      <c r="F29" s="156" t="s">
        <v>503</v>
      </c>
      <c r="G29" s="157" t="s">
        <v>67</v>
      </c>
      <c r="H29" s="158" t="s">
        <v>53</v>
      </c>
      <c r="I29" s="159" t="s">
        <v>34</v>
      </c>
      <c r="J29" s="160">
        <f>IFERROR(VALUE(SUBSTITUTE(SUBSTITUTE(INDEX('LIST P&amp;R'!G:G,MATCH(F29,'LIST P&amp;R'!C:C,0)),")",""),"(", "")),"")</f>
        <v>4</v>
      </c>
      <c r="K29" s="161" t="str">
        <f>IFERROR(INDEX('Matriz de evaluación'!$B$4:$F$8, J29, MATCH(I29, {"A","B","C","D","E"}, 0)), "")</f>
        <v>18 
BAJO</v>
      </c>
      <c r="L29" s="162"/>
      <c r="M29" s="162"/>
      <c r="N29" s="163" t="s">
        <v>645</v>
      </c>
      <c r="O29" s="163" t="s">
        <v>646</v>
      </c>
      <c r="P29" s="163" t="s">
        <v>647</v>
      </c>
      <c r="Q29" s="159" t="s">
        <v>37</v>
      </c>
      <c r="R29" s="159">
        <v>4</v>
      </c>
      <c r="S29" s="160" t="str">
        <f>IFERROR(INDEX('Matriz de evaluación'!$B$4:$F$8, R29, MATCH(Q29, {"A","B","C","D","E"}, 0)), "")</f>
        <v>21 
BAJO</v>
      </c>
      <c r="T29" s="163" t="s">
        <v>648</v>
      </c>
      <c r="U29" s="159" t="s">
        <v>649</v>
      </c>
      <c r="V29" s="159" t="s">
        <v>650</v>
      </c>
    </row>
    <row r="30" spans="1:22" s="77" customFormat="1" ht="326.25" customHeight="1" x14ac:dyDescent="0.25">
      <c r="A30" s="189"/>
      <c r="B30" s="233"/>
      <c r="C30" s="238"/>
      <c r="D30" s="238"/>
      <c r="E30" s="235"/>
      <c r="F30" s="156" t="s">
        <v>491</v>
      </c>
      <c r="G30" s="164" t="s">
        <v>492</v>
      </c>
      <c r="H30" s="158" t="s">
        <v>49</v>
      </c>
      <c r="I30" s="159" t="s">
        <v>34</v>
      </c>
      <c r="J30" s="160">
        <f>IFERROR(VALUE(SUBSTITUTE(SUBSTITUTE(INDEX('LIST P&amp;R'!G:G,MATCH(F30,'LIST P&amp;R'!C:C,0)),")",""),"(", "")),"")</f>
        <v>4</v>
      </c>
      <c r="K30" s="161" t="str">
        <f>IFERROR(INDEX('Matriz de evaluación'!$B$4:$F$8, J30, MATCH(I30, {"A","B","C","D","E"}, 0)), "")</f>
        <v>18 
BAJO</v>
      </c>
      <c r="L30" s="162"/>
      <c r="M30" s="162"/>
      <c r="N30" s="163" t="s">
        <v>645</v>
      </c>
      <c r="O30" s="163" t="s">
        <v>651</v>
      </c>
      <c r="P30" s="163" t="s">
        <v>652</v>
      </c>
      <c r="Q30" s="159" t="s">
        <v>37</v>
      </c>
      <c r="R30" s="159">
        <v>4</v>
      </c>
      <c r="S30" s="160" t="str">
        <f>IFERROR(INDEX('Matriz de evaluación'!$B$4:$F$8, R30, MATCH(Q30, {"A","B","C","D","E"}, 0)), "")</f>
        <v>21 
BAJO</v>
      </c>
      <c r="T30" s="165"/>
      <c r="U30" s="159"/>
      <c r="V30" s="159"/>
    </row>
    <row r="31" spans="1:22" s="77" customFormat="1" ht="210.75" customHeight="1" x14ac:dyDescent="0.25">
      <c r="A31" s="189"/>
      <c r="B31" s="233"/>
      <c r="C31" s="238"/>
      <c r="D31" s="238"/>
      <c r="E31" s="235"/>
      <c r="F31" s="156" t="s">
        <v>558</v>
      </c>
      <c r="G31" s="164" t="s">
        <v>54</v>
      </c>
      <c r="H31" s="158" t="s">
        <v>55</v>
      </c>
      <c r="I31" s="159" t="s">
        <v>34</v>
      </c>
      <c r="J31" s="160">
        <f>IFERROR(VALUE(SUBSTITUTE(SUBSTITUTE(INDEX('LIST P&amp;R'!G:G,MATCH(F31,'LIST P&amp;R'!C:C,0)),")",""),"(", "")),"")</f>
        <v>3</v>
      </c>
      <c r="K31" s="161" t="str">
        <f>IFERROR(INDEX('Matriz de evaluación'!$B$4:$F$8, J31, MATCH(I31, {"A","B","C","D","E"}, 0)), "")</f>
        <v>13 
MEDIO</v>
      </c>
      <c r="L31" s="162"/>
      <c r="M31" s="162"/>
      <c r="N31" s="163"/>
      <c r="O31" s="163" t="s">
        <v>38</v>
      </c>
      <c r="P31" s="163" t="s">
        <v>653</v>
      </c>
      <c r="Q31" s="159" t="s">
        <v>37</v>
      </c>
      <c r="R31" s="159">
        <v>3</v>
      </c>
      <c r="S31" s="160" t="str">
        <f>IFERROR(INDEX('Matriz de evaluación'!$B$4:$F$8, R31, MATCH(Q31, {"A","B","C","D","E"}, 0)), "")</f>
        <v>17 
BAJO</v>
      </c>
      <c r="T31" s="165"/>
      <c r="U31" s="159"/>
      <c r="V31" s="159"/>
    </row>
    <row r="32" spans="1:22" s="77" customFormat="1" ht="304.5" customHeight="1" x14ac:dyDescent="0.25">
      <c r="A32" s="189"/>
      <c r="B32" s="233"/>
      <c r="C32" s="238"/>
      <c r="D32" s="239"/>
      <c r="E32" s="236"/>
      <c r="F32" s="156" t="s">
        <v>560</v>
      </c>
      <c r="G32" s="164" t="s">
        <v>63</v>
      </c>
      <c r="H32" s="158" t="s">
        <v>64</v>
      </c>
      <c r="I32" s="159" t="s">
        <v>34</v>
      </c>
      <c r="J32" s="160">
        <f>IFERROR(VALUE(SUBSTITUTE(SUBSTITUTE(INDEX('LIST P&amp;R'!G:G,MATCH(F32,'LIST P&amp;R'!C:C,0)),")",""),"(", "")),"")</f>
        <v>3</v>
      </c>
      <c r="K32" s="161" t="str">
        <f>IFERROR(INDEX('Matriz de evaluación'!$B$4:$F$8, J32, MATCH(I32, {"A","B","C","D","E"}, 0)), "")</f>
        <v>13 
MEDIO</v>
      </c>
      <c r="L32" s="162"/>
      <c r="M32" s="162" t="s">
        <v>655</v>
      </c>
      <c r="N32" s="163"/>
      <c r="O32" s="163" t="s">
        <v>656</v>
      </c>
      <c r="P32" s="163"/>
      <c r="Q32" s="159" t="s">
        <v>37</v>
      </c>
      <c r="R32" s="159">
        <v>3</v>
      </c>
      <c r="S32" s="160" t="str">
        <f>IFERROR(INDEX('Matriz de evaluación'!$B$4:$F$8, R32, MATCH(Q32, {"A","B","C","D","E"}, 0)), "")</f>
        <v>17 
BAJO</v>
      </c>
      <c r="T32" s="165"/>
      <c r="U32" s="159"/>
      <c r="V32" s="159"/>
    </row>
    <row r="33" spans="1:22" s="77" customFormat="1" ht="239.25" customHeight="1" x14ac:dyDescent="0.25">
      <c r="A33" s="189"/>
      <c r="B33" s="233"/>
      <c r="C33" s="238"/>
      <c r="D33" s="237" t="s">
        <v>657</v>
      </c>
      <c r="E33" s="246" t="s">
        <v>638</v>
      </c>
      <c r="F33" s="156" t="s">
        <v>491</v>
      </c>
      <c r="G33" s="164" t="s">
        <v>492</v>
      </c>
      <c r="H33" s="158" t="s">
        <v>49</v>
      </c>
      <c r="I33" s="159" t="s">
        <v>34</v>
      </c>
      <c r="J33" s="160">
        <f>IFERROR(VALUE(SUBSTITUTE(SUBSTITUTE(INDEX('LIST P&amp;R'!G:G,MATCH(F33,'LIST P&amp;R'!C:C,0)),")",""),"(", "")),"")</f>
        <v>4</v>
      </c>
      <c r="K33" s="161" t="str">
        <f>IFERROR(INDEX('Matriz de evaluación'!$B$4:$F$8, J33, MATCH(I33, {"A","B","C","D","E"}, 0)), "")</f>
        <v>18 
BAJO</v>
      </c>
      <c r="L33" s="162"/>
      <c r="M33" s="162"/>
      <c r="N33" s="163" t="s">
        <v>645</v>
      </c>
      <c r="O33" s="163" t="s">
        <v>651</v>
      </c>
      <c r="P33" s="163" t="s">
        <v>652</v>
      </c>
      <c r="Q33" s="159" t="s">
        <v>37</v>
      </c>
      <c r="R33" s="159">
        <v>4</v>
      </c>
      <c r="S33" s="160" t="str">
        <f>IFERROR(INDEX('Matriz de evaluación'!$B$4:$F$8, R33, MATCH(Q33, {"A","B","C","D","E"}, 0)), "")</f>
        <v>21 
BAJO</v>
      </c>
      <c r="T33" s="165"/>
      <c r="U33" s="159"/>
      <c r="V33" s="159"/>
    </row>
    <row r="34" spans="1:22" s="77" customFormat="1" ht="334.5" customHeight="1" x14ac:dyDescent="0.25">
      <c r="A34" s="189"/>
      <c r="B34" s="233"/>
      <c r="C34" s="238"/>
      <c r="D34" s="238"/>
      <c r="E34" s="235"/>
      <c r="F34" s="156" t="s">
        <v>503</v>
      </c>
      <c r="G34" s="157" t="s">
        <v>67</v>
      </c>
      <c r="H34" s="158" t="s">
        <v>53</v>
      </c>
      <c r="I34" s="159" t="s">
        <v>34</v>
      </c>
      <c r="J34" s="160">
        <f>IFERROR(VALUE(SUBSTITUTE(SUBSTITUTE(INDEX('LIST P&amp;R'!G:G,MATCH(F34,'LIST P&amp;R'!C:C,0)),")",""),"(", "")),"")</f>
        <v>4</v>
      </c>
      <c r="K34" s="161" t="str">
        <f>IFERROR(INDEX('Matriz de evaluación'!$B$4:$F$8, J34, MATCH(I34, {"A","B","C","D","E"}, 0)), "")</f>
        <v>18 
BAJO</v>
      </c>
      <c r="L34" s="162"/>
      <c r="M34" s="162"/>
      <c r="N34" s="163" t="s">
        <v>645</v>
      </c>
      <c r="O34" s="163" t="s">
        <v>646</v>
      </c>
      <c r="P34" s="163" t="s">
        <v>647</v>
      </c>
      <c r="Q34" s="159" t="s">
        <v>37</v>
      </c>
      <c r="R34" s="159">
        <v>4</v>
      </c>
      <c r="S34" s="160" t="str">
        <f>IFERROR(INDEX('Matriz de evaluación'!$B$4:$F$8, R34, MATCH(Q34, {"A","B","C","D","E"}, 0)), "")</f>
        <v>21 
BAJO</v>
      </c>
      <c r="T34" s="163" t="s">
        <v>648</v>
      </c>
      <c r="U34" s="159" t="s">
        <v>649</v>
      </c>
      <c r="V34" s="159" t="s">
        <v>650</v>
      </c>
    </row>
    <row r="35" spans="1:22" s="77" customFormat="1" ht="237" customHeight="1" x14ac:dyDescent="0.25">
      <c r="A35" s="189"/>
      <c r="B35" s="233"/>
      <c r="C35" s="238"/>
      <c r="D35" s="238"/>
      <c r="E35" s="235"/>
      <c r="F35" s="156" t="s">
        <v>558</v>
      </c>
      <c r="G35" s="164" t="s">
        <v>54</v>
      </c>
      <c r="H35" s="158" t="s">
        <v>55</v>
      </c>
      <c r="I35" s="159" t="s">
        <v>34</v>
      </c>
      <c r="J35" s="160">
        <f>IFERROR(VALUE(SUBSTITUTE(SUBSTITUTE(INDEX('LIST P&amp;R'!G:G,MATCH(F35,'LIST P&amp;R'!C:C,0)),")",""),"(", "")),"")</f>
        <v>3</v>
      </c>
      <c r="K35" s="161" t="str">
        <f>IFERROR(INDEX('Matriz de evaluación'!$B$4:$F$8, J35, MATCH(I35, {"A","B","C","D","E"}, 0)), "")</f>
        <v>13 
MEDIO</v>
      </c>
      <c r="L35" s="162"/>
      <c r="M35" s="162"/>
      <c r="N35" s="163"/>
      <c r="O35" s="163" t="s">
        <v>38</v>
      </c>
      <c r="P35" s="163" t="s">
        <v>653</v>
      </c>
      <c r="Q35" s="159" t="s">
        <v>37</v>
      </c>
      <c r="R35" s="159">
        <v>3</v>
      </c>
      <c r="S35" s="160" t="str">
        <f>IFERROR(INDEX('Matriz de evaluación'!$B$4:$F$8, R35, MATCH(Q35, {"A","B","C","D","E"}, 0)), "")</f>
        <v>17 
BAJO</v>
      </c>
      <c r="T35" s="165"/>
      <c r="U35" s="159"/>
      <c r="V35" s="159"/>
    </row>
    <row r="36" spans="1:22" s="77" customFormat="1" ht="409.6" customHeight="1" x14ac:dyDescent="0.25">
      <c r="A36" s="189"/>
      <c r="B36" s="233"/>
      <c r="C36" s="238"/>
      <c r="D36" s="238"/>
      <c r="E36" s="235"/>
      <c r="F36" s="156" t="s">
        <v>560</v>
      </c>
      <c r="G36" s="164" t="s">
        <v>63</v>
      </c>
      <c r="H36" s="158" t="s">
        <v>64</v>
      </c>
      <c r="I36" s="159" t="s">
        <v>34</v>
      </c>
      <c r="J36" s="160">
        <f>IFERROR(VALUE(SUBSTITUTE(SUBSTITUTE(INDEX('LIST P&amp;R'!G:G,MATCH(F36,'LIST P&amp;R'!C:C,0)),")",""),"(", "")),"")</f>
        <v>3</v>
      </c>
      <c r="K36" s="161" t="str">
        <f>IFERROR(INDEX('Matriz de evaluación'!$B$4:$F$8, J36, MATCH(I36, {"A","B","C","D","E"}, 0)), "")</f>
        <v>13 
MEDIO</v>
      </c>
      <c r="L36" s="162"/>
      <c r="M36" s="162" t="s">
        <v>655</v>
      </c>
      <c r="N36" s="163"/>
      <c r="O36" s="163" t="s">
        <v>656</v>
      </c>
      <c r="P36" s="163"/>
      <c r="Q36" s="159" t="s">
        <v>37</v>
      </c>
      <c r="R36" s="159">
        <v>3</v>
      </c>
      <c r="S36" s="160" t="str">
        <f>IFERROR(INDEX('Matriz de evaluación'!$B$4:$F$8, R36, MATCH(Q36, {"A","B","C","D","E"}, 0)), "")</f>
        <v>17 
BAJO</v>
      </c>
      <c r="T36" s="165"/>
      <c r="U36" s="159"/>
      <c r="V36" s="159"/>
    </row>
    <row r="37" spans="1:22" s="77" customFormat="1" ht="373.5" customHeight="1" x14ac:dyDescent="0.25">
      <c r="A37" s="189"/>
      <c r="B37" s="233"/>
      <c r="C37" s="238"/>
      <c r="D37" s="238"/>
      <c r="E37" s="235"/>
      <c r="F37" s="156" t="s">
        <v>563</v>
      </c>
      <c r="G37" s="164" t="s">
        <v>35</v>
      </c>
      <c r="H37" s="158" t="s">
        <v>36</v>
      </c>
      <c r="I37" s="159" t="s">
        <v>34</v>
      </c>
      <c r="J37" s="160">
        <f>IFERROR(VALUE(SUBSTITUTE(SUBSTITUTE(INDEX('LIST P&amp;R'!G:G,MATCH(F37,'LIST P&amp;R'!C:C,0)),")",""),"(", "")),"")</f>
        <v>3</v>
      </c>
      <c r="K37" s="161" t="str">
        <f>IFERROR(INDEX('Matriz de evaluación'!$B$4:$F$8, J37, MATCH(I37, {"A","B","C","D","E"}, 0)), "")</f>
        <v>13 
MEDIO</v>
      </c>
      <c r="L37" s="162"/>
      <c r="M37" s="162" t="s">
        <v>655</v>
      </c>
      <c r="N37" s="163"/>
      <c r="O37" s="163" t="s">
        <v>656</v>
      </c>
      <c r="P37" s="163"/>
      <c r="Q37" s="159" t="s">
        <v>37</v>
      </c>
      <c r="R37" s="159">
        <v>3</v>
      </c>
      <c r="S37" s="160" t="str">
        <f>IFERROR(INDEX('Matriz de evaluación'!$B$4:$F$8, R37, MATCH(Q37, {"A","B","C","D","E"}, 0)), "")</f>
        <v>17 
BAJO</v>
      </c>
      <c r="T37" s="165"/>
      <c r="U37" s="159"/>
      <c r="V37" s="159"/>
    </row>
    <row r="38" spans="1:22" s="77" customFormat="1" ht="356.25" customHeight="1" x14ac:dyDescent="0.25">
      <c r="A38" s="189"/>
      <c r="B38" s="233"/>
      <c r="C38" s="239"/>
      <c r="D38" s="239"/>
      <c r="E38" s="236"/>
      <c r="F38" s="156" t="s">
        <v>605</v>
      </c>
      <c r="G38" s="164" t="s">
        <v>56</v>
      </c>
      <c r="H38" s="158" t="s">
        <v>57</v>
      </c>
      <c r="I38" s="159" t="s">
        <v>34</v>
      </c>
      <c r="J38" s="160">
        <f>IFERROR(VALUE(SUBSTITUTE(SUBSTITUTE(INDEX('LIST P&amp;R'!G:G,MATCH(F38,'LIST P&amp;R'!C:C,0)),")",""),"(", "")),"")</f>
        <v>3</v>
      </c>
      <c r="K38" s="161" t="str">
        <f>IFERROR(INDEX('Matriz de evaluación'!$B$4:$F$8, J38, MATCH(I38, {"A","B","C","D","E"}, 0)), "")</f>
        <v>13 
MEDIO</v>
      </c>
      <c r="L38" s="162"/>
      <c r="M38" s="162"/>
      <c r="N38" s="163" t="s">
        <v>658</v>
      </c>
      <c r="O38" s="163" t="s">
        <v>659</v>
      </c>
      <c r="P38" s="163" t="s">
        <v>660</v>
      </c>
      <c r="Q38" s="159" t="s">
        <v>37</v>
      </c>
      <c r="R38" s="159">
        <v>3</v>
      </c>
      <c r="S38" s="160" t="str">
        <f>IFERROR(INDEX('Matriz de evaluación'!$B$4:$F$8, R38, MATCH(Q38, {"A","B","C","D","E"}, 0)), "")</f>
        <v>17 
BAJO</v>
      </c>
      <c r="T38" s="165"/>
      <c r="U38" s="159"/>
      <c r="V38" s="159"/>
    </row>
    <row r="39" spans="1:22" s="77" customFormat="1" ht="266.25" customHeight="1" x14ac:dyDescent="0.25">
      <c r="A39" s="189"/>
      <c r="B39" s="233"/>
      <c r="C39" s="240" t="s">
        <v>717</v>
      </c>
      <c r="D39" s="240" t="s">
        <v>661</v>
      </c>
      <c r="E39" s="246" t="s">
        <v>638</v>
      </c>
      <c r="F39" s="156" t="s">
        <v>491</v>
      </c>
      <c r="G39" s="164" t="s">
        <v>492</v>
      </c>
      <c r="H39" s="158" t="s">
        <v>49</v>
      </c>
      <c r="I39" s="159" t="s">
        <v>34</v>
      </c>
      <c r="J39" s="160">
        <f>IFERROR(VALUE(SUBSTITUTE(SUBSTITUTE(INDEX('LIST P&amp;R'!G:G,MATCH(F39,'LIST P&amp;R'!C:C,0)),")",""),"(", "")),"")</f>
        <v>4</v>
      </c>
      <c r="K39" s="161" t="str">
        <f>IFERROR(INDEX('Matriz de evaluación'!$B$4:$F$8, J39, MATCH(I39, {"A","B","C","D","E"}, 0)), "")</f>
        <v>18 
BAJO</v>
      </c>
      <c r="L39" s="162"/>
      <c r="M39" s="162"/>
      <c r="N39" s="163" t="s">
        <v>645</v>
      </c>
      <c r="O39" s="163" t="s">
        <v>684</v>
      </c>
      <c r="P39" s="163" t="s">
        <v>652</v>
      </c>
      <c r="Q39" s="159" t="s">
        <v>37</v>
      </c>
      <c r="R39" s="159">
        <v>4</v>
      </c>
      <c r="S39" s="160" t="str">
        <f>IFERROR(INDEX('Matriz de evaluación'!$B$4:$F$8, R39, MATCH(Q39, {"A","B","C","D","E"}, 0)), "")</f>
        <v>21 
BAJO</v>
      </c>
      <c r="T39" s="165"/>
      <c r="U39" s="159"/>
      <c r="V39" s="159"/>
    </row>
    <row r="40" spans="1:22" s="77" customFormat="1" ht="322.5" customHeight="1" x14ac:dyDescent="0.25">
      <c r="A40" s="189"/>
      <c r="B40" s="233"/>
      <c r="C40" s="241"/>
      <c r="D40" s="241"/>
      <c r="E40" s="235"/>
      <c r="F40" s="156" t="s">
        <v>503</v>
      </c>
      <c r="G40" s="157" t="s">
        <v>67</v>
      </c>
      <c r="H40" s="158" t="s">
        <v>53</v>
      </c>
      <c r="I40" s="159" t="s">
        <v>34</v>
      </c>
      <c r="J40" s="160">
        <f>IFERROR(VALUE(SUBSTITUTE(SUBSTITUTE(INDEX('LIST P&amp;R'!G:G,MATCH(F40,'LIST P&amp;R'!C:C,0)),")",""),"(", "")),"")</f>
        <v>4</v>
      </c>
      <c r="K40" s="161" t="str">
        <f>IFERROR(INDEX('Matriz de evaluación'!$B$4:$F$8, J40, MATCH(I40, {"A","B","C","D","E"}, 0)), "")</f>
        <v>18 
BAJO</v>
      </c>
      <c r="L40" s="162"/>
      <c r="M40" s="162"/>
      <c r="N40" s="163" t="s">
        <v>645</v>
      </c>
      <c r="O40" s="163" t="s">
        <v>646</v>
      </c>
      <c r="P40" s="163" t="s">
        <v>647</v>
      </c>
      <c r="Q40" s="159" t="s">
        <v>37</v>
      </c>
      <c r="R40" s="159">
        <v>4</v>
      </c>
      <c r="S40" s="160" t="str">
        <f>IFERROR(INDEX('Matriz de evaluación'!$B$4:$F$8, R40, MATCH(Q40, {"A","B","C","D","E"}, 0)), "")</f>
        <v>21 
BAJO</v>
      </c>
      <c r="T40" s="163" t="s">
        <v>648</v>
      </c>
      <c r="U40" s="159" t="s">
        <v>649</v>
      </c>
      <c r="V40" s="159" t="s">
        <v>650</v>
      </c>
    </row>
    <row r="41" spans="1:22" s="77" customFormat="1" ht="389.25" customHeight="1" x14ac:dyDescent="0.25">
      <c r="A41" s="189"/>
      <c r="B41" s="233"/>
      <c r="C41" s="241"/>
      <c r="D41" s="241"/>
      <c r="E41" s="235"/>
      <c r="F41" s="156" t="s">
        <v>558</v>
      </c>
      <c r="G41" s="164" t="s">
        <v>54</v>
      </c>
      <c r="H41" s="158" t="s">
        <v>55</v>
      </c>
      <c r="I41" s="159" t="s">
        <v>34</v>
      </c>
      <c r="J41" s="160">
        <f>IFERROR(VALUE(SUBSTITUTE(SUBSTITUTE(INDEX('LIST P&amp;R'!G:G,MATCH(F41,'LIST P&amp;R'!C:C,0)),")",""),"(", "")),"")</f>
        <v>3</v>
      </c>
      <c r="K41" s="161" t="str">
        <f>IFERROR(INDEX('Matriz de evaluación'!$B$4:$F$8, J41, MATCH(I41, {"A","B","C","D","E"}, 0)), "")</f>
        <v>13 
MEDIO</v>
      </c>
      <c r="L41" s="162"/>
      <c r="M41" s="162"/>
      <c r="N41" s="163"/>
      <c r="O41" s="163" t="s">
        <v>38</v>
      </c>
      <c r="P41" s="163" t="s">
        <v>653</v>
      </c>
      <c r="Q41" s="159" t="s">
        <v>37</v>
      </c>
      <c r="R41" s="159">
        <v>3</v>
      </c>
      <c r="S41" s="160" t="str">
        <f>IFERROR(INDEX('Matriz de evaluación'!$B$4:$F$8, R41, MATCH(Q41, {"A","B","C","D","E"}, 0)), "")</f>
        <v>17 
BAJO</v>
      </c>
      <c r="T41" s="165"/>
      <c r="U41" s="159"/>
      <c r="V41" s="159"/>
    </row>
    <row r="42" spans="1:22" s="77" customFormat="1" ht="322.5" customHeight="1" x14ac:dyDescent="0.25">
      <c r="A42" s="189"/>
      <c r="B42" s="233"/>
      <c r="C42" s="241"/>
      <c r="D42" s="241"/>
      <c r="E42" s="235"/>
      <c r="F42" s="156" t="s">
        <v>560</v>
      </c>
      <c r="G42" s="164" t="s">
        <v>63</v>
      </c>
      <c r="H42" s="158" t="s">
        <v>64</v>
      </c>
      <c r="I42" s="159" t="s">
        <v>34</v>
      </c>
      <c r="J42" s="160">
        <f>IFERROR(VALUE(SUBSTITUTE(SUBSTITUTE(INDEX('LIST P&amp;R'!G:G,MATCH(F42,'LIST P&amp;R'!C:C,0)),")",""),"(", "")),"")</f>
        <v>3</v>
      </c>
      <c r="K42" s="161" t="str">
        <f>IFERROR(INDEX('Matriz de evaluación'!$B$4:$F$8, J42, MATCH(I42, {"A","B","C","D","E"}, 0)), "")</f>
        <v>13 
MEDIO</v>
      </c>
      <c r="L42" s="162"/>
      <c r="M42" s="162" t="s">
        <v>655</v>
      </c>
      <c r="N42" s="163"/>
      <c r="O42" s="163" t="s">
        <v>656</v>
      </c>
      <c r="P42" s="163"/>
      <c r="Q42" s="159" t="s">
        <v>37</v>
      </c>
      <c r="R42" s="159">
        <v>3</v>
      </c>
      <c r="S42" s="160" t="str">
        <f>IFERROR(INDEX('Matriz de evaluación'!$B$4:$F$8, R42, MATCH(Q42, {"A","B","C","D","E"}, 0)), "")</f>
        <v>17 
BAJO</v>
      </c>
      <c r="T42" s="165"/>
      <c r="U42" s="159"/>
      <c r="V42" s="159"/>
    </row>
    <row r="43" spans="1:22" ht="306" customHeight="1" x14ac:dyDescent="0.45">
      <c r="A43" s="190"/>
      <c r="B43" s="233"/>
      <c r="C43" s="241"/>
      <c r="D43" s="242"/>
      <c r="E43" s="236"/>
      <c r="F43" s="156" t="s">
        <v>605</v>
      </c>
      <c r="G43" s="164" t="s">
        <v>56</v>
      </c>
      <c r="H43" s="158" t="s">
        <v>57</v>
      </c>
      <c r="I43" s="159" t="s">
        <v>34</v>
      </c>
      <c r="J43" s="160">
        <f>IFERROR(VALUE(SUBSTITUTE(SUBSTITUTE(INDEX('LIST P&amp;R'!G:G,MATCH(F43,'LIST P&amp;R'!C:C,0)),")",""),"(", "")),"")</f>
        <v>3</v>
      </c>
      <c r="K43" s="161" t="str">
        <f>IFERROR(INDEX('Matriz de evaluación'!$B$4:$F$8, J43, MATCH(I43, {"A","B","C","D","E"}, 0)), "")</f>
        <v>13 
MEDIO</v>
      </c>
      <c r="L43" s="162"/>
      <c r="M43" s="162"/>
      <c r="N43" s="163" t="s">
        <v>658</v>
      </c>
      <c r="O43" s="163" t="s">
        <v>659</v>
      </c>
      <c r="P43" s="163" t="s">
        <v>660</v>
      </c>
      <c r="Q43" s="159" t="s">
        <v>37</v>
      </c>
      <c r="R43" s="159">
        <v>3</v>
      </c>
      <c r="S43" s="160" t="str">
        <f>IFERROR(INDEX('Matriz de evaluación'!$B$4:$F$8, R43, MATCH(Q43, {"A","B","C","D","E"}, 0)), "")</f>
        <v>17 
BAJO</v>
      </c>
      <c r="T43" s="165"/>
      <c r="U43" s="159"/>
      <c r="V43" s="159"/>
    </row>
    <row r="44" spans="1:22" ht="252.75" customHeight="1" x14ac:dyDescent="0.45">
      <c r="A44" s="190"/>
      <c r="B44" s="233"/>
      <c r="C44" s="241"/>
      <c r="D44" s="240" t="s">
        <v>727</v>
      </c>
      <c r="E44" s="246" t="s">
        <v>638</v>
      </c>
      <c r="F44" s="156" t="s">
        <v>475</v>
      </c>
      <c r="G44" s="164" t="s">
        <v>58</v>
      </c>
      <c r="H44" s="158" t="s">
        <v>59</v>
      </c>
      <c r="I44" s="159" t="s">
        <v>34</v>
      </c>
      <c r="J44" s="160">
        <f>IFERROR(VALUE(SUBSTITUTE(SUBSTITUTE(INDEX('LIST P&amp;R'!G:G,MATCH(F44,'LIST P&amp;R'!C:C,0)),")",""),"(", "")),"")</f>
        <v>3</v>
      </c>
      <c r="K44" s="161" t="str">
        <f>IFERROR(INDEX('Matriz de evaluación'!$B$4:$F$8, J44, MATCH(I44, {"A","B","C","D","E"}, 0)), "")</f>
        <v>13 
MEDIO</v>
      </c>
      <c r="L44" s="162"/>
      <c r="M44" s="162" t="s">
        <v>662</v>
      </c>
      <c r="N44" s="163"/>
      <c r="O44" s="163" t="s">
        <v>663</v>
      </c>
      <c r="P44" s="163" t="s">
        <v>664</v>
      </c>
      <c r="Q44" s="159" t="s">
        <v>37</v>
      </c>
      <c r="R44" s="159">
        <v>3</v>
      </c>
      <c r="S44" s="160" t="str">
        <f>IFERROR(INDEX('Matriz de evaluación'!$B$4:$F$8, R44, MATCH(Q44, {"A","B","C","D","E"}, 0)), "")</f>
        <v>17 
BAJO</v>
      </c>
      <c r="T44" s="165"/>
      <c r="U44" s="159"/>
      <c r="V44" s="159"/>
    </row>
    <row r="45" spans="1:22" s="77" customFormat="1" ht="269.25" customHeight="1" x14ac:dyDescent="0.25">
      <c r="A45" s="189"/>
      <c r="B45" s="233"/>
      <c r="C45" s="241"/>
      <c r="D45" s="241"/>
      <c r="E45" s="235"/>
      <c r="F45" s="156" t="s">
        <v>491</v>
      </c>
      <c r="G45" s="164" t="s">
        <v>492</v>
      </c>
      <c r="H45" s="158" t="s">
        <v>49</v>
      </c>
      <c r="I45" s="159" t="s">
        <v>34</v>
      </c>
      <c r="J45" s="160">
        <f>IFERROR(VALUE(SUBSTITUTE(SUBSTITUTE(INDEX('LIST P&amp;R'!G:G,MATCH(F45,'LIST P&amp;R'!C:C,0)),")",""),"(", "")),"")</f>
        <v>4</v>
      </c>
      <c r="K45" s="161" t="str">
        <f>IFERROR(INDEX('Matriz de evaluación'!$B$4:$F$8, J45, MATCH(I45, {"A","B","C","D","E"}, 0)), "")</f>
        <v>18 
BAJO</v>
      </c>
      <c r="L45" s="162"/>
      <c r="M45" s="162"/>
      <c r="N45" s="163" t="s">
        <v>645</v>
      </c>
      <c r="O45" s="163" t="s">
        <v>651</v>
      </c>
      <c r="P45" s="163" t="s">
        <v>652</v>
      </c>
      <c r="Q45" s="159" t="s">
        <v>37</v>
      </c>
      <c r="R45" s="159">
        <v>4</v>
      </c>
      <c r="S45" s="160" t="str">
        <f>IFERROR(INDEX('Matriz de evaluación'!$B$4:$F$8, R45, MATCH(Q45, {"A","B","C","D","E"}, 0)), "")</f>
        <v>21 
BAJO</v>
      </c>
      <c r="T45" s="165"/>
      <c r="U45" s="159"/>
      <c r="V45" s="159"/>
    </row>
    <row r="46" spans="1:22" s="77" customFormat="1" ht="332.25" customHeight="1" x14ac:dyDescent="0.25">
      <c r="A46" s="189"/>
      <c r="B46" s="233"/>
      <c r="C46" s="241"/>
      <c r="D46" s="241"/>
      <c r="E46" s="235"/>
      <c r="F46" s="156" t="s">
        <v>503</v>
      </c>
      <c r="G46" s="157" t="s">
        <v>67</v>
      </c>
      <c r="H46" s="158" t="s">
        <v>53</v>
      </c>
      <c r="I46" s="159" t="s">
        <v>145</v>
      </c>
      <c r="J46" s="160">
        <v>5</v>
      </c>
      <c r="K46" s="161" t="str">
        <f>IFERROR(INDEX('Matriz de evaluación'!$B$4:$F$8, J46, MATCH(I46, {"A","B","C","D","E"}, 0)), "")</f>
        <v>15 
MEDIO</v>
      </c>
      <c r="L46" s="162"/>
      <c r="M46" s="162"/>
      <c r="N46" s="163" t="s">
        <v>645</v>
      </c>
      <c r="O46" s="163" t="s">
        <v>646</v>
      </c>
      <c r="P46" s="163" t="s">
        <v>647</v>
      </c>
      <c r="Q46" s="159" t="s">
        <v>37</v>
      </c>
      <c r="R46" s="159">
        <v>4</v>
      </c>
      <c r="S46" s="160" t="str">
        <f>IFERROR(INDEX('Matriz de evaluación'!$B$4:$F$8, R46, MATCH(Q46, {"A","B","C","D","E"}, 0)), "")</f>
        <v>21 
BAJO</v>
      </c>
      <c r="T46" s="163" t="s">
        <v>648</v>
      </c>
      <c r="U46" s="159" t="s">
        <v>649</v>
      </c>
      <c r="V46" s="159" t="s">
        <v>650</v>
      </c>
    </row>
    <row r="47" spans="1:22" s="77" customFormat="1" ht="332.25" customHeight="1" x14ac:dyDescent="0.25">
      <c r="A47" s="189"/>
      <c r="B47" s="233"/>
      <c r="C47" s="241"/>
      <c r="D47" s="241"/>
      <c r="E47" s="235"/>
      <c r="F47" s="193" t="s">
        <v>613</v>
      </c>
      <c r="G47" s="194" t="s">
        <v>79</v>
      </c>
      <c r="H47" s="194" t="s">
        <v>80</v>
      </c>
      <c r="I47" s="207" t="s">
        <v>34</v>
      </c>
      <c r="J47" s="160">
        <v>2</v>
      </c>
      <c r="K47" s="161" t="str">
        <f>IFERROR(INDEX('Matriz de evaluación'!$B$4:$F$8, J47, MATCH(I47, {"A","B","C","D","E"}, 0)), "")</f>
        <v>8 
ALTO</v>
      </c>
      <c r="L47" s="162"/>
      <c r="M47" s="162"/>
      <c r="N47" s="200" t="s">
        <v>741</v>
      </c>
      <c r="O47" s="200" t="s">
        <v>745</v>
      </c>
      <c r="P47" s="200" t="s">
        <v>742</v>
      </c>
      <c r="Q47" s="159" t="s">
        <v>37</v>
      </c>
      <c r="R47" s="159">
        <v>4</v>
      </c>
      <c r="S47" s="160" t="str">
        <f>IFERROR(INDEX('Matriz de evaluación'!$B$4:$F$8, R47, MATCH(Q47, {"A","B","C","D","E"}, 0)), "")</f>
        <v>21 
BAJO</v>
      </c>
      <c r="T47" s="163"/>
      <c r="U47" s="159"/>
      <c r="V47" s="159"/>
    </row>
    <row r="48" spans="1:22" s="77" customFormat="1" ht="332.25" customHeight="1" x14ac:dyDescent="0.25">
      <c r="A48" s="189"/>
      <c r="B48" s="233"/>
      <c r="C48" s="241"/>
      <c r="D48" s="241"/>
      <c r="E48" s="235"/>
      <c r="F48" s="197" t="s">
        <v>572</v>
      </c>
      <c r="G48" s="198" t="s">
        <v>299</v>
      </c>
      <c r="H48" s="198" t="s">
        <v>300</v>
      </c>
      <c r="I48" s="159" t="s">
        <v>33</v>
      </c>
      <c r="J48" s="220">
        <v>4</v>
      </c>
      <c r="K48" s="161" t="str">
        <f>IFERROR(INDEX('Matriz de evaluación'!$B$4:$F$8, J48, MATCH(I48, {"A","B","C","D","E"}, 0)), "")</f>
        <v>14 
MEDIO</v>
      </c>
      <c r="L48" s="162"/>
      <c r="M48" s="162"/>
      <c r="N48" s="200" t="s">
        <v>743</v>
      </c>
      <c r="O48" s="200" t="s">
        <v>746</v>
      </c>
      <c r="P48" s="200" t="s">
        <v>744</v>
      </c>
      <c r="Q48" s="159" t="s">
        <v>37</v>
      </c>
      <c r="R48" s="159">
        <v>5</v>
      </c>
      <c r="S48" s="160" t="str">
        <f>IFERROR(INDEX('Matriz de evaluación'!$B$4:$F$8, R48, MATCH(Q48, {"A","B","C","D","E"}, 0)), "")</f>
        <v>24 
BAJO</v>
      </c>
      <c r="T48" s="163"/>
      <c r="U48" s="159"/>
      <c r="V48" s="159"/>
    </row>
    <row r="49" spans="1:22" s="77" customFormat="1" ht="366.75" customHeight="1" x14ac:dyDescent="0.25">
      <c r="A49" s="189"/>
      <c r="B49" s="233"/>
      <c r="C49" s="241"/>
      <c r="D49" s="241"/>
      <c r="E49" s="235"/>
      <c r="F49" s="204" t="s">
        <v>558</v>
      </c>
      <c r="G49" s="164" t="s">
        <v>54</v>
      </c>
      <c r="H49" s="158" t="s">
        <v>55</v>
      </c>
      <c r="I49" s="195" t="s">
        <v>34</v>
      </c>
      <c r="J49" s="219">
        <f>IFERROR(VALUE(SUBSTITUTE(SUBSTITUTE(INDEX('LIST P&amp;R'!G:G,MATCH(F49,'LIST P&amp;R'!C:C,0)),")",""),"(", "")),"")</f>
        <v>3</v>
      </c>
      <c r="K49" s="161" t="str">
        <f>IFERROR(INDEX('Matriz de evaluación'!$B$4:$F$8, J49, MATCH(I49, {"A","B","C","D","E"}, 0)), "")</f>
        <v>13 
MEDIO</v>
      </c>
      <c r="L49" s="162"/>
      <c r="M49" s="162"/>
      <c r="N49" s="163"/>
      <c r="O49" s="163" t="s">
        <v>38</v>
      </c>
      <c r="P49" s="163" t="s">
        <v>653</v>
      </c>
      <c r="Q49" s="159" t="s">
        <v>37</v>
      </c>
      <c r="R49" s="159">
        <v>3</v>
      </c>
      <c r="S49" s="160" t="str">
        <f>IFERROR(INDEX('Matriz de evaluación'!$B$4:$F$8, R49, MATCH(Q49, {"A","B","C","D","E"}, 0)), "")</f>
        <v>17 
BAJO</v>
      </c>
      <c r="T49" s="165"/>
      <c r="U49" s="159"/>
      <c r="V49" s="159"/>
    </row>
    <row r="50" spans="1:22" s="77" customFormat="1" ht="232.5" customHeight="1" x14ac:dyDescent="0.25">
      <c r="A50" s="189"/>
      <c r="B50" s="233"/>
      <c r="C50" s="241"/>
      <c r="D50" s="241"/>
      <c r="E50" s="235"/>
      <c r="F50" s="156" t="s">
        <v>563</v>
      </c>
      <c r="G50" s="164" t="s">
        <v>35</v>
      </c>
      <c r="H50" s="158" t="s">
        <v>36</v>
      </c>
      <c r="I50" s="159" t="s">
        <v>34</v>
      </c>
      <c r="J50" s="160">
        <f>IFERROR(VALUE(SUBSTITUTE(SUBSTITUTE(INDEX('LIST P&amp;R'!G:G,MATCH(F50,'LIST P&amp;R'!C:C,0)),")",""),"(", "")),"")</f>
        <v>3</v>
      </c>
      <c r="K50" s="161" t="str">
        <f>IFERROR(INDEX('Matriz de evaluación'!$B$4:$F$8, J50, MATCH(I50, {"A","B","C","D","E"}, 0)), "")</f>
        <v>13 
MEDIO</v>
      </c>
      <c r="L50" s="162"/>
      <c r="M50" s="162"/>
      <c r="N50" s="163"/>
      <c r="O50" s="163" t="s">
        <v>38</v>
      </c>
      <c r="P50" s="163" t="s">
        <v>653</v>
      </c>
      <c r="Q50" s="159" t="s">
        <v>37</v>
      </c>
      <c r="R50" s="159">
        <v>3</v>
      </c>
      <c r="S50" s="160" t="str">
        <f>IFERROR(INDEX('Matriz de evaluación'!$B$4:$F$8, R50, MATCH(Q50, {"A","B","C","D","E"}, 0)), "")</f>
        <v>17 
BAJO</v>
      </c>
      <c r="T50" s="165"/>
      <c r="U50" s="159"/>
      <c r="V50" s="159"/>
    </row>
    <row r="51" spans="1:22" s="77" customFormat="1" ht="409.6" customHeight="1" x14ac:dyDescent="0.55000000000000004">
      <c r="A51" s="191"/>
      <c r="B51" s="233"/>
      <c r="C51" s="241"/>
      <c r="D51" s="242"/>
      <c r="E51" s="236"/>
      <c r="F51" s="202" t="s">
        <v>567</v>
      </c>
      <c r="G51" s="162" t="s">
        <v>82</v>
      </c>
      <c r="H51" s="206" t="s">
        <v>83</v>
      </c>
      <c r="I51" s="168" t="s">
        <v>145</v>
      </c>
      <c r="J51" s="169">
        <v>5</v>
      </c>
      <c r="K51" s="170" t="str">
        <f>IFERROR(INDEX('Matriz de evaluación'!$B$4:$F$8, J51, MATCH(I51, {"A","B","C","D","E"}, 0)), "")</f>
        <v>15 
MEDIO</v>
      </c>
      <c r="L51" s="171"/>
      <c r="M51" s="171"/>
      <c r="N51" s="172" t="s">
        <v>665</v>
      </c>
      <c r="O51" s="172" t="s">
        <v>666</v>
      </c>
      <c r="P51" s="172" t="s">
        <v>667</v>
      </c>
      <c r="Q51" s="168" t="s">
        <v>37</v>
      </c>
      <c r="R51" s="168">
        <v>2</v>
      </c>
      <c r="S51" s="169" t="str">
        <f>IFERROR(INDEX('Matriz de evaluación'!$B$4:$F$8, R51, MATCH(Q51, {"A","B","C","D","E"}, 0)), "")</f>
        <v>12 
MEDIO</v>
      </c>
      <c r="T51" s="173"/>
      <c r="U51" s="168"/>
      <c r="V51" s="168"/>
    </row>
    <row r="52" spans="1:22" s="78" customFormat="1" ht="409.6" customHeight="1" x14ac:dyDescent="0.25">
      <c r="A52" s="189"/>
      <c r="B52" s="233"/>
      <c r="C52" s="241"/>
      <c r="D52" s="240" t="s">
        <v>728</v>
      </c>
      <c r="E52" s="235" t="s">
        <v>638</v>
      </c>
      <c r="F52" s="156" t="s">
        <v>491</v>
      </c>
      <c r="G52" s="164" t="s">
        <v>492</v>
      </c>
      <c r="H52" s="158" t="s">
        <v>49</v>
      </c>
      <c r="I52" s="159" t="s">
        <v>34</v>
      </c>
      <c r="J52" s="160">
        <f>IFERROR(VALUE(SUBSTITUTE(SUBSTITUTE(INDEX('LIST P&amp;R'!G:G,MATCH(F52,'LIST P&amp;R'!C:C,0)),")",""),"(", "")),"")</f>
        <v>4</v>
      </c>
      <c r="K52" s="161" t="str">
        <f>IFERROR(INDEX('Matriz de evaluación'!$B$4:$F$8, J52, MATCH(I52, {"A","B","C","D","E"}, 0)), "")</f>
        <v>18 
BAJO</v>
      </c>
      <c r="L52" s="162"/>
      <c r="M52" s="162"/>
      <c r="N52" s="163" t="s">
        <v>645</v>
      </c>
      <c r="O52" s="163" t="s">
        <v>651</v>
      </c>
      <c r="P52" s="163" t="s">
        <v>652</v>
      </c>
      <c r="Q52" s="159" t="s">
        <v>37</v>
      </c>
      <c r="R52" s="159">
        <v>4</v>
      </c>
      <c r="S52" s="160" t="str">
        <f>IFERROR(INDEX('Matriz de evaluación'!$B$4:$F$8, R52, MATCH(Q52, {"A","B","C","D","E"}, 0)), "")</f>
        <v>21 
BAJO</v>
      </c>
      <c r="T52" s="165"/>
      <c r="U52" s="159"/>
      <c r="V52" s="159"/>
    </row>
    <row r="53" spans="1:22" s="78" customFormat="1" ht="409.6" customHeight="1" x14ac:dyDescent="0.25">
      <c r="A53" s="189"/>
      <c r="B53" s="233"/>
      <c r="C53" s="241"/>
      <c r="D53" s="241"/>
      <c r="E53" s="235"/>
      <c r="F53" s="156" t="s">
        <v>503</v>
      </c>
      <c r="G53" s="157" t="s">
        <v>67</v>
      </c>
      <c r="H53" s="158" t="s">
        <v>53</v>
      </c>
      <c r="I53" s="159" t="s">
        <v>34</v>
      </c>
      <c r="J53" s="160">
        <f>IFERROR(VALUE(SUBSTITUTE(SUBSTITUTE(INDEX('LIST P&amp;R'!G:G,MATCH(F53,'LIST P&amp;R'!C:C,0)),")",""),"(", "")),"")</f>
        <v>4</v>
      </c>
      <c r="K53" s="161" t="str">
        <f>IFERROR(INDEX('Matriz de evaluación'!$B$4:$F$8, J53, MATCH(I53, {"A","B","C","D","E"}, 0)), "")</f>
        <v>18 
BAJO</v>
      </c>
      <c r="L53" s="162"/>
      <c r="M53" s="162"/>
      <c r="N53" s="163" t="s">
        <v>645</v>
      </c>
      <c r="O53" s="163" t="s">
        <v>646</v>
      </c>
      <c r="P53" s="163" t="s">
        <v>647</v>
      </c>
      <c r="Q53" s="159" t="s">
        <v>37</v>
      </c>
      <c r="R53" s="159">
        <v>4</v>
      </c>
      <c r="S53" s="160" t="str">
        <f>IFERROR(INDEX('Matriz de evaluación'!$B$4:$F$8, R53, MATCH(Q53, {"A","B","C","D","E"}, 0)), "")</f>
        <v>21 
BAJO</v>
      </c>
      <c r="T53" s="163" t="s">
        <v>648</v>
      </c>
      <c r="U53" s="159" t="s">
        <v>649</v>
      </c>
      <c r="V53" s="159" t="s">
        <v>650</v>
      </c>
    </row>
    <row r="54" spans="1:22" s="78" customFormat="1" ht="409.6" customHeight="1" x14ac:dyDescent="0.25">
      <c r="A54" s="189"/>
      <c r="B54" s="233"/>
      <c r="C54" s="242"/>
      <c r="D54" s="242"/>
      <c r="E54" s="236"/>
      <c r="F54" s="156" t="s">
        <v>558</v>
      </c>
      <c r="G54" s="164" t="s">
        <v>54</v>
      </c>
      <c r="H54" s="158" t="s">
        <v>55</v>
      </c>
      <c r="I54" s="159" t="s">
        <v>34</v>
      </c>
      <c r="J54" s="160">
        <f>IFERROR(VALUE(SUBSTITUTE(SUBSTITUTE(INDEX('LIST P&amp;R'!G:G,MATCH(F54,'LIST P&amp;R'!C:C,0)),")",""),"(", "")),"")</f>
        <v>3</v>
      </c>
      <c r="K54" s="161" t="str">
        <f>IFERROR(INDEX('Matriz de evaluación'!$B$4:$F$8, J54, MATCH(I54, {"A","B","C","D","E"}, 0)), "")</f>
        <v>13 
MEDIO</v>
      </c>
      <c r="L54" s="162"/>
      <c r="M54" s="162"/>
      <c r="N54" s="163"/>
      <c r="O54" s="163" t="s">
        <v>38</v>
      </c>
      <c r="P54" s="163" t="s">
        <v>653</v>
      </c>
      <c r="Q54" s="159" t="s">
        <v>37</v>
      </c>
      <c r="R54" s="159">
        <v>3</v>
      </c>
      <c r="S54" s="160" t="str">
        <f>IFERROR(INDEX('Matriz de evaluación'!$B$4:$F$8, R54, MATCH(Q54, {"A","B","C","D","E"}, 0)), "")</f>
        <v>17 
BAJO</v>
      </c>
      <c r="T54" s="165"/>
      <c r="U54" s="159"/>
      <c r="V54" s="159"/>
    </row>
    <row r="55" spans="1:22" s="78" customFormat="1" ht="409.6" customHeight="1" x14ac:dyDescent="0.25">
      <c r="A55" s="189"/>
      <c r="B55" s="233"/>
      <c r="C55" s="247" t="s">
        <v>729</v>
      </c>
      <c r="D55" s="247" t="s">
        <v>730</v>
      </c>
      <c r="E55" s="246" t="s">
        <v>638</v>
      </c>
      <c r="F55" s="156" t="s">
        <v>491</v>
      </c>
      <c r="G55" s="164" t="s">
        <v>492</v>
      </c>
      <c r="H55" s="158" t="s">
        <v>49</v>
      </c>
      <c r="I55" s="159" t="s">
        <v>34</v>
      </c>
      <c r="J55" s="160">
        <f>IFERROR(VALUE(SUBSTITUTE(SUBSTITUTE(INDEX('LIST P&amp;R'!G:G,MATCH(F55,'LIST P&amp;R'!C:C,0)),")",""),"(", "")),"")</f>
        <v>4</v>
      </c>
      <c r="K55" s="161" t="str">
        <f>IFERROR(INDEX('Matriz de evaluación'!$B$4:$F$8, J55, MATCH(I55, {"A","B","C","D","E"}, 0)), "")</f>
        <v>18 
BAJO</v>
      </c>
      <c r="L55" s="162"/>
      <c r="M55" s="162"/>
      <c r="N55" s="163" t="s">
        <v>645</v>
      </c>
      <c r="O55" s="163" t="s">
        <v>651</v>
      </c>
      <c r="P55" s="163" t="s">
        <v>652</v>
      </c>
      <c r="Q55" s="159" t="s">
        <v>37</v>
      </c>
      <c r="R55" s="159">
        <v>4</v>
      </c>
      <c r="S55" s="160" t="str">
        <f>IFERROR(INDEX('Matriz de evaluación'!$B$4:$F$8, R55, MATCH(Q55, {"A","B","C","D","E"}, 0)), "")</f>
        <v>21 
BAJO</v>
      </c>
      <c r="T55" s="165"/>
      <c r="U55" s="159"/>
      <c r="V55" s="159"/>
    </row>
    <row r="56" spans="1:22" s="78" customFormat="1" ht="409.6" customHeight="1" x14ac:dyDescent="0.25">
      <c r="A56" s="189"/>
      <c r="B56" s="233"/>
      <c r="C56" s="248"/>
      <c r="D56" s="248"/>
      <c r="E56" s="235"/>
      <c r="F56" s="156" t="s">
        <v>605</v>
      </c>
      <c r="G56" s="164" t="s">
        <v>56</v>
      </c>
      <c r="H56" s="158" t="s">
        <v>57</v>
      </c>
      <c r="I56" s="159" t="s">
        <v>34</v>
      </c>
      <c r="J56" s="160">
        <f>IFERROR(VALUE(SUBSTITUTE(SUBSTITUTE(INDEX('LIST P&amp;R'!G:G,MATCH(F56,'LIST P&amp;R'!C:C,0)),")",""),"(", "")),"")</f>
        <v>3</v>
      </c>
      <c r="K56" s="161" t="str">
        <f>IFERROR(INDEX('Matriz de evaluación'!$B$4:$F$8, J56, MATCH(I56, {"A","B","C","D","E"}, 0)), "")</f>
        <v>13 
MEDIO</v>
      </c>
      <c r="L56" s="162"/>
      <c r="M56" s="162"/>
      <c r="N56" s="163" t="s">
        <v>658</v>
      </c>
      <c r="O56" s="163" t="s">
        <v>659</v>
      </c>
      <c r="P56" s="163" t="s">
        <v>660</v>
      </c>
      <c r="Q56" s="159" t="s">
        <v>37</v>
      </c>
      <c r="R56" s="159">
        <v>3</v>
      </c>
      <c r="S56" s="160" t="str">
        <f>IFERROR(INDEX('Matriz de evaluación'!$B$4:$F$8, R56, MATCH(Q56, {"A","B","C","D","E"}, 0)), "")</f>
        <v>17 
BAJO</v>
      </c>
      <c r="T56" s="165"/>
      <c r="U56" s="159"/>
      <c r="V56" s="159"/>
    </row>
    <row r="57" spans="1:22" s="78" customFormat="1" ht="409.6" customHeight="1" x14ac:dyDescent="0.25">
      <c r="A57" s="189"/>
      <c r="B57" s="233"/>
      <c r="C57" s="248"/>
      <c r="D57" s="248"/>
      <c r="E57" s="235"/>
      <c r="F57" s="156" t="s">
        <v>503</v>
      </c>
      <c r="G57" s="157" t="s">
        <v>67</v>
      </c>
      <c r="H57" s="158" t="s">
        <v>53</v>
      </c>
      <c r="I57" s="159" t="s">
        <v>34</v>
      </c>
      <c r="J57" s="160">
        <f>IFERROR(VALUE(SUBSTITUTE(SUBSTITUTE(INDEX('LIST P&amp;R'!G:G,MATCH(F57,'LIST P&amp;R'!C:C,0)),")",""),"(", "")),"")</f>
        <v>4</v>
      </c>
      <c r="K57" s="161" t="str">
        <f>IFERROR(INDEX('Matriz de evaluación'!$B$4:$F$8, J57, MATCH(I57, {"A","B","C","D","E"}, 0)), "")</f>
        <v>18 
BAJO</v>
      </c>
      <c r="L57" s="162"/>
      <c r="M57" s="162"/>
      <c r="N57" s="163" t="s">
        <v>645</v>
      </c>
      <c r="O57" s="163" t="s">
        <v>646</v>
      </c>
      <c r="P57" s="163" t="s">
        <v>647</v>
      </c>
      <c r="Q57" s="159" t="s">
        <v>37</v>
      </c>
      <c r="R57" s="159">
        <v>4</v>
      </c>
      <c r="S57" s="160" t="str">
        <f>IFERROR(INDEX('Matriz de evaluación'!$B$4:$F$8, R57, MATCH(Q57, {"A","B","C","D","E"}, 0)), "")</f>
        <v>21 
BAJO</v>
      </c>
      <c r="T57" s="163" t="s">
        <v>648</v>
      </c>
      <c r="U57" s="159" t="s">
        <v>649</v>
      </c>
      <c r="V57" s="159" t="s">
        <v>650</v>
      </c>
    </row>
    <row r="58" spans="1:22" s="78" customFormat="1" ht="409.6" customHeight="1" x14ac:dyDescent="0.25">
      <c r="A58" s="189"/>
      <c r="B58" s="233"/>
      <c r="C58" s="248"/>
      <c r="D58" s="248"/>
      <c r="E58" s="235"/>
      <c r="F58" s="156" t="s">
        <v>558</v>
      </c>
      <c r="G58" s="164" t="s">
        <v>54</v>
      </c>
      <c r="H58" s="158" t="s">
        <v>55</v>
      </c>
      <c r="I58" s="159" t="s">
        <v>34</v>
      </c>
      <c r="J58" s="160">
        <f>IFERROR(VALUE(SUBSTITUTE(SUBSTITUTE(INDEX('LIST P&amp;R'!G:G,MATCH(F58,'LIST P&amp;R'!C:C,0)),")",""),"(", "")),"")</f>
        <v>3</v>
      </c>
      <c r="K58" s="161" t="str">
        <f>IFERROR(INDEX('Matriz de evaluación'!$B$4:$F$8, J58, MATCH(I58, {"A","B","C","D","E"}, 0)), "")</f>
        <v>13 
MEDIO</v>
      </c>
      <c r="L58" s="162"/>
      <c r="M58" s="162"/>
      <c r="N58" s="163"/>
      <c r="O58" s="163" t="s">
        <v>38</v>
      </c>
      <c r="P58" s="163" t="s">
        <v>653</v>
      </c>
      <c r="Q58" s="159" t="s">
        <v>37</v>
      </c>
      <c r="R58" s="159">
        <v>3</v>
      </c>
      <c r="S58" s="160" t="str">
        <f>IFERROR(INDEX('Matriz de evaluación'!$B$4:$F$8, R58, MATCH(Q58, {"A","B","C","D","E"}, 0)), "")</f>
        <v>17 
BAJO</v>
      </c>
      <c r="T58" s="165"/>
      <c r="U58" s="159"/>
      <c r="V58" s="159"/>
    </row>
    <row r="59" spans="1:22" s="78" customFormat="1" ht="409.6" customHeight="1" x14ac:dyDescent="0.25">
      <c r="A59" s="189"/>
      <c r="B59" s="233"/>
      <c r="C59" s="248"/>
      <c r="D59" s="248"/>
      <c r="E59" s="235"/>
      <c r="F59" s="156" t="s">
        <v>560</v>
      </c>
      <c r="G59" s="164" t="s">
        <v>63</v>
      </c>
      <c r="H59" s="158" t="s">
        <v>64</v>
      </c>
      <c r="I59" s="159" t="s">
        <v>34</v>
      </c>
      <c r="J59" s="160">
        <f>IFERROR(VALUE(SUBSTITUTE(SUBSTITUTE(INDEX('LIST P&amp;R'!G:G,MATCH(F59,'LIST P&amp;R'!C:C,0)),")",""),"(", "")),"")</f>
        <v>3</v>
      </c>
      <c r="K59" s="161" t="str">
        <f>IFERROR(INDEX('Matriz de evaluación'!$B$4:$F$8, J59, MATCH(I59, {"A","B","C","D","E"}, 0)), "")</f>
        <v>13 
MEDIO</v>
      </c>
      <c r="L59" s="162"/>
      <c r="M59" s="162" t="s">
        <v>655</v>
      </c>
      <c r="N59" s="163"/>
      <c r="O59" s="163" t="s">
        <v>656</v>
      </c>
      <c r="P59" s="163"/>
      <c r="Q59" s="159" t="s">
        <v>37</v>
      </c>
      <c r="R59" s="159">
        <v>3</v>
      </c>
      <c r="S59" s="160" t="str">
        <f>IFERROR(INDEX('Matriz de evaluación'!$B$4:$F$8, R59, MATCH(Q59, {"A","B","C","D","E"}, 0)), "")</f>
        <v>17 
BAJO</v>
      </c>
      <c r="T59" s="165"/>
      <c r="U59" s="159"/>
      <c r="V59" s="159"/>
    </row>
    <row r="60" spans="1:22" s="78" customFormat="1" ht="409.6" customHeight="1" x14ac:dyDescent="0.25">
      <c r="A60" s="189"/>
      <c r="B60" s="233"/>
      <c r="C60" s="248"/>
      <c r="D60" s="249"/>
      <c r="E60" s="235"/>
      <c r="F60" s="156" t="s">
        <v>563</v>
      </c>
      <c r="G60" s="164" t="s">
        <v>35</v>
      </c>
      <c r="H60" s="158" t="s">
        <v>36</v>
      </c>
      <c r="I60" s="159" t="s">
        <v>34</v>
      </c>
      <c r="J60" s="160">
        <f>IFERROR(VALUE(SUBSTITUTE(SUBSTITUTE(INDEX('LIST P&amp;R'!G:G,MATCH(F60,'LIST P&amp;R'!C:C,0)),")",""),"(", "")),"")</f>
        <v>3</v>
      </c>
      <c r="K60" s="161" t="str">
        <f>IFERROR(INDEX('Matriz de evaluación'!$B$4:$F$8, J60, MATCH(I60, {"A","B","C","D","E"}, 0)), "")</f>
        <v>13 
MEDIO</v>
      </c>
      <c r="L60" s="162"/>
      <c r="M60" s="162"/>
      <c r="N60" s="163"/>
      <c r="O60" s="163" t="s">
        <v>38</v>
      </c>
      <c r="P60" s="163" t="s">
        <v>653</v>
      </c>
      <c r="Q60" s="159" t="s">
        <v>37</v>
      </c>
      <c r="R60" s="159">
        <v>3</v>
      </c>
      <c r="S60" s="160" t="str">
        <f>IFERROR(INDEX('Matriz de evaluación'!$B$4:$F$8, R60, MATCH(Q60, {"A","B","C","D","E"}, 0)), "")</f>
        <v>17 
BAJO</v>
      </c>
      <c r="T60" s="165"/>
      <c r="U60" s="159"/>
      <c r="V60" s="159"/>
    </row>
    <row r="61" spans="1:22" s="78" customFormat="1" ht="409.6" customHeight="1" x14ac:dyDescent="0.25">
      <c r="A61" s="189"/>
      <c r="B61" s="233"/>
      <c r="C61" s="248"/>
      <c r="D61" s="247" t="s">
        <v>731</v>
      </c>
      <c r="E61" s="203"/>
      <c r="F61" s="156" t="s">
        <v>560</v>
      </c>
      <c r="G61" s="164" t="s">
        <v>63</v>
      </c>
      <c r="H61" s="158" t="s">
        <v>64</v>
      </c>
      <c r="I61" s="159" t="s">
        <v>34</v>
      </c>
      <c r="J61" s="160">
        <f>IFERROR(VALUE(SUBSTITUTE(SUBSTITUTE(INDEX('LIST P&amp;R'!G:G,MATCH(F61,'LIST P&amp;R'!C:C,0)),")",""),"(", "")),"")</f>
        <v>3</v>
      </c>
      <c r="K61" s="161" t="str">
        <f>IFERROR(INDEX('Matriz de evaluación'!$B$4:$F$8, J61, MATCH(I61, {"A","B","C","D","E"}, 0)), "")</f>
        <v>13 
MEDIO</v>
      </c>
      <c r="L61" s="162"/>
      <c r="M61" s="162" t="s">
        <v>655</v>
      </c>
      <c r="N61" s="163"/>
      <c r="O61" s="163" t="s">
        <v>656</v>
      </c>
      <c r="P61" s="163"/>
      <c r="Q61" s="159" t="s">
        <v>37</v>
      </c>
      <c r="R61" s="159">
        <v>3</v>
      </c>
      <c r="S61" s="160" t="str">
        <f>IFERROR(INDEX('Matriz de evaluación'!$B$4:$F$8, R61, MATCH(Q61, {"A","B","C","D","E"}, 0)), "")</f>
        <v>17 
BAJO</v>
      </c>
      <c r="T61" s="165"/>
      <c r="U61" s="159"/>
      <c r="V61" s="159"/>
    </row>
    <row r="62" spans="1:22" s="78" customFormat="1" ht="409.6" customHeight="1" x14ac:dyDescent="0.25">
      <c r="A62" s="189"/>
      <c r="B62" s="233"/>
      <c r="C62" s="248"/>
      <c r="D62" s="249"/>
      <c r="E62" s="203"/>
      <c r="F62" s="156" t="s">
        <v>563</v>
      </c>
      <c r="G62" s="164" t="s">
        <v>35</v>
      </c>
      <c r="H62" s="158" t="s">
        <v>36</v>
      </c>
      <c r="I62" s="159" t="s">
        <v>34</v>
      </c>
      <c r="J62" s="160">
        <f>IFERROR(VALUE(SUBSTITUTE(SUBSTITUTE(INDEX('LIST P&amp;R'!G:G,MATCH(F62,'LIST P&amp;R'!C:C,0)),")",""),"(", "")),"")</f>
        <v>3</v>
      </c>
      <c r="K62" s="161" t="str">
        <f>IFERROR(INDEX('Matriz de evaluación'!$B$4:$F$8, J62, MATCH(I62, {"A","B","C","D","E"}, 0)), "")</f>
        <v>13 
MEDIO</v>
      </c>
      <c r="L62" s="162"/>
      <c r="M62" s="162"/>
      <c r="N62" s="163"/>
      <c r="O62" s="163" t="s">
        <v>38</v>
      </c>
      <c r="P62" s="163" t="s">
        <v>653</v>
      </c>
      <c r="Q62" s="159" t="s">
        <v>37</v>
      </c>
      <c r="R62" s="159">
        <v>3</v>
      </c>
      <c r="S62" s="160" t="str">
        <f>IFERROR(INDEX('Matriz de evaluación'!$B$4:$F$8, R62, MATCH(Q62, {"A","B","C","D","E"}, 0)), "")</f>
        <v>17 
BAJO</v>
      </c>
      <c r="T62" s="165"/>
      <c r="U62" s="159"/>
      <c r="V62" s="159"/>
    </row>
    <row r="63" spans="1:22" s="78" customFormat="1" ht="409.6" customHeight="1" x14ac:dyDescent="0.25">
      <c r="A63" s="189"/>
      <c r="B63" s="233"/>
      <c r="C63" s="248"/>
      <c r="D63" s="247" t="s">
        <v>732</v>
      </c>
      <c r="E63" s="235" t="s">
        <v>638</v>
      </c>
      <c r="F63" s="156" t="s">
        <v>475</v>
      </c>
      <c r="G63" s="164" t="s">
        <v>58</v>
      </c>
      <c r="H63" s="158" t="s">
        <v>59</v>
      </c>
      <c r="I63" s="159" t="s">
        <v>34</v>
      </c>
      <c r="J63" s="160">
        <v>2</v>
      </c>
      <c r="K63" s="161" t="str">
        <f>IFERROR(INDEX('Matriz de evaluación'!$B$4:$F$8, J63, MATCH(I63, {"A","B","C","D","E"}, 0)), "")</f>
        <v>8 
ALTO</v>
      </c>
      <c r="L63" s="162"/>
      <c r="M63" s="162" t="s">
        <v>662</v>
      </c>
      <c r="N63" s="163"/>
      <c r="O63" s="163" t="s">
        <v>663</v>
      </c>
      <c r="P63" s="163" t="s">
        <v>664</v>
      </c>
      <c r="Q63" s="159" t="s">
        <v>37</v>
      </c>
      <c r="R63" s="159">
        <v>3</v>
      </c>
      <c r="S63" s="160" t="str">
        <f>IFERROR(INDEX('Matriz de evaluación'!$B$4:$F$8, R63, MATCH(Q63, {"A","B","C","D","E"}, 0)), "")</f>
        <v>17 
BAJO</v>
      </c>
      <c r="T63" s="165"/>
      <c r="U63" s="159"/>
      <c r="V63" s="159"/>
    </row>
    <row r="64" spans="1:22" s="78" customFormat="1" ht="409.6" customHeight="1" x14ac:dyDescent="0.55000000000000004">
      <c r="A64" s="189"/>
      <c r="B64" s="233"/>
      <c r="C64" s="248"/>
      <c r="D64" s="248"/>
      <c r="E64" s="235"/>
      <c r="F64" s="202" t="s">
        <v>567</v>
      </c>
      <c r="G64" s="166" t="s">
        <v>82</v>
      </c>
      <c r="H64" s="167" t="s">
        <v>83</v>
      </c>
      <c r="I64" s="168" t="s">
        <v>34</v>
      </c>
      <c r="J64" s="169">
        <v>3</v>
      </c>
      <c r="K64" s="170" t="str">
        <f>IFERROR(INDEX('Matriz de evaluación'!$B$4:$F$8, J64, MATCH(I64, {"A","B","C","D","E"}, 0)), "")</f>
        <v>13 
MEDIO</v>
      </c>
      <c r="L64" s="171"/>
      <c r="M64" s="171"/>
      <c r="N64" s="172" t="s">
        <v>665</v>
      </c>
      <c r="O64" s="172" t="s">
        <v>666</v>
      </c>
      <c r="P64" s="172" t="s">
        <v>667</v>
      </c>
      <c r="Q64" s="168" t="s">
        <v>37</v>
      </c>
      <c r="R64" s="168">
        <v>2</v>
      </c>
      <c r="S64" s="160" t="str">
        <f>IFERROR(INDEX('Matriz de evaluación'!$B$4:$F$8, R64, MATCH(Q64, {"A","B","C","D","E"}, 0)), "")</f>
        <v>12 
MEDIO</v>
      </c>
      <c r="T64" s="173"/>
      <c r="U64" s="168"/>
      <c r="V64" s="168"/>
    </row>
    <row r="65" spans="1:22" s="78" customFormat="1" ht="409.6" customHeight="1" x14ac:dyDescent="0.55000000000000004">
      <c r="A65" s="189"/>
      <c r="B65" s="233"/>
      <c r="C65" s="248"/>
      <c r="D65" s="248"/>
      <c r="E65" s="235"/>
      <c r="F65" s="193" t="s">
        <v>613</v>
      </c>
      <c r="G65" s="194" t="s">
        <v>79</v>
      </c>
      <c r="H65" s="194" t="s">
        <v>80</v>
      </c>
      <c r="I65" s="159" t="s">
        <v>34</v>
      </c>
      <c r="J65" s="169">
        <v>3</v>
      </c>
      <c r="K65" s="170" t="str">
        <f>IFERROR(INDEX('Matriz de evaluación'!$B$4:$F$8, J65, MATCH(I65, {"A","B","C","D","E"}, 0)), "")</f>
        <v>13 
MEDIO</v>
      </c>
      <c r="L65" s="171"/>
      <c r="M65" s="221"/>
      <c r="N65" s="200" t="s">
        <v>747</v>
      </c>
      <c r="O65" s="200" t="s">
        <v>748</v>
      </c>
      <c r="P65" s="200" t="s">
        <v>749</v>
      </c>
      <c r="Q65" s="168" t="s">
        <v>37</v>
      </c>
      <c r="R65" s="168">
        <v>5</v>
      </c>
      <c r="S65" s="169" t="str">
        <f>IFERROR(INDEX('Matriz de evaluación'!$B$4:$F$8, R64, MATCH(Q64, {"A","B","C","D","E"}, 0)), "")</f>
        <v>12 
MEDIO</v>
      </c>
      <c r="T65" s="173"/>
      <c r="U65" s="168"/>
      <c r="V65" s="168"/>
    </row>
    <row r="66" spans="1:22" s="78" customFormat="1" ht="409.6" customHeight="1" x14ac:dyDescent="0.25">
      <c r="A66" s="189"/>
      <c r="B66" s="233"/>
      <c r="C66" s="248"/>
      <c r="D66" s="248"/>
      <c r="E66" s="235"/>
      <c r="F66" s="204" t="s">
        <v>605</v>
      </c>
      <c r="G66" s="164" t="s">
        <v>56</v>
      </c>
      <c r="H66" s="158" t="s">
        <v>57</v>
      </c>
      <c r="I66" s="195" t="s">
        <v>34</v>
      </c>
      <c r="J66" s="160">
        <f>IFERROR(VALUE(SUBSTITUTE(SUBSTITUTE(INDEX('LIST P&amp;R'!G:G,MATCH(F66,'LIST P&amp;R'!C:C,0)),")",""),"(", "")),"")</f>
        <v>3</v>
      </c>
      <c r="K66" s="161" t="str">
        <f>IFERROR(INDEX('Matriz de evaluación'!$B$4:$F$8, J66, MATCH(I66, {"A","B","C","D","E"}, 0)), "")</f>
        <v>13 
MEDIO</v>
      </c>
      <c r="L66" s="162"/>
      <c r="M66" s="162"/>
      <c r="N66" s="163" t="s">
        <v>658</v>
      </c>
      <c r="O66" s="163" t="s">
        <v>659</v>
      </c>
      <c r="P66" s="163" t="s">
        <v>660</v>
      </c>
      <c r="Q66" s="159" t="s">
        <v>37</v>
      </c>
      <c r="R66" s="159">
        <v>3</v>
      </c>
      <c r="S66" s="160" t="str">
        <f>IFERROR(INDEX('Matriz de evaluación'!$B$4:$F$8, R66, MATCH(Q66, {"A","B","C","D","E"}, 0)), "")</f>
        <v>17 
BAJO</v>
      </c>
      <c r="T66" s="165"/>
      <c r="U66" s="159"/>
      <c r="V66" s="159"/>
    </row>
    <row r="67" spans="1:22" s="78" customFormat="1" ht="409.6" customHeight="1" x14ac:dyDescent="0.25">
      <c r="A67" s="189"/>
      <c r="B67" s="233"/>
      <c r="C67" s="248"/>
      <c r="D67" s="248" t="s">
        <v>733</v>
      </c>
      <c r="E67" s="235"/>
      <c r="F67" s="156" t="s">
        <v>560</v>
      </c>
      <c r="G67" s="164" t="s">
        <v>63</v>
      </c>
      <c r="H67" s="158" t="s">
        <v>64</v>
      </c>
      <c r="I67" s="159" t="s">
        <v>34</v>
      </c>
      <c r="J67" s="160">
        <f>IFERROR(VALUE(SUBSTITUTE(SUBSTITUTE(INDEX('LIST P&amp;R'!G:G,MATCH(F67,'LIST P&amp;R'!C:C,0)),")",""),"(", "")),"")</f>
        <v>3</v>
      </c>
      <c r="K67" s="161" t="str">
        <f>IFERROR(INDEX('Matriz de evaluación'!$B$4:$F$8, J67, MATCH(I67, {"A","B","C","D","E"}, 0)), "")</f>
        <v>13 
MEDIO</v>
      </c>
      <c r="L67" s="162"/>
      <c r="M67" s="162" t="s">
        <v>655</v>
      </c>
      <c r="N67" s="163"/>
      <c r="O67" s="163" t="s">
        <v>656</v>
      </c>
      <c r="P67" s="163"/>
      <c r="Q67" s="159" t="s">
        <v>37</v>
      </c>
      <c r="R67" s="159">
        <v>3</v>
      </c>
      <c r="S67" s="160" t="str">
        <f>IFERROR(INDEX('Matriz de evaluación'!$B$4:$F$8, R67, MATCH(Q67, {"A","B","C","D","E"}, 0)), "")</f>
        <v>17 
BAJO</v>
      </c>
      <c r="T67" s="165"/>
      <c r="U67" s="159"/>
      <c r="V67" s="159"/>
    </row>
    <row r="68" spans="1:22" s="78" customFormat="1" ht="409.6" customHeight="1" x14ac:dyDescent="0.25">
      <c r="A68" s="189"/>
      <c r="B68" s="233"/>
      <c r="C68" s="248"/>
      <c r="D68" s="249"/>
      <c r="E68" s="235"/>
      <c r="F68" s="156" t="s">
        <v>558</v>
      </c>
      <c r="G68" s="164" t="s">
        <v>54</v>
      </c>
      <c r="H68" s="158" t="s">
        <v>55</v>
      </c>
      <c r="I68" s="159" t="s">
        <v>34</v>
      </c>
      <c r="J68" s="160">
        <f>IFERROR(VALUE(SUBSTITUTE(SUBSTITUTE(INDEX('LIST P&amp;R'!G:G,MATCH(F68,'LIST P&amp;R'!C:C,0)),")",""),"(", "")),"")</f>
        <v>3</v>
      </c>
      <c r="K68" s="161" t="str">
        <f>IFERROR(INDEX('Matriz de evaluación'!$B$4:$F$8, J68, MATCH(I68, {"A","B","C","D","E"}, 0)), "")</f>
        <v>13 
MEDIO</v>
      </c>
      <c r="L68" s="162"/>
      <c r="M68" s="162"/>
      <c r="N68" s="163"/>
      <c r="O68" s="163" t="s">
        <v>38</v>
      </c>
      <c r="P68" s="163" t="s">
        <v>653</v>
      </c>
      <c r="Q68" s="159" t="s">
        <v>37</v>
      </c>
      <c r="R68" s="159">
        <v>3</v>
      </c>
      <c r="S68" s="160" t="str">
        <f>IFERROR(INDEX('Matriz de evaluación'!$B$4:$F$8, R68, MATCH(Q68, {"A","B","C","D","E"}, 0)), "")</f>
        <v>17 
BAJO</v>
      </c>
      <c r="T68" s="165"/>
      <c r="U68" s="159"/>
      <c r="V68" s="159"/>
    </row>
    <row r="69" spans="1:22" s="78" customFormat="1" ht="409.6" customHeight="1" x14ac:dyDescent="0.25">
      <c r="A69" s="189"/>
      <c r="B69" s="233"/>
      <c r="C69" s="248"/>
      <c r="D69" s="250" t="s">
        <v>734</v>
      </c>
      <c r="E69" s="235"/>
      <c r="F69" s="156" t="s">
        <v>503</v>
      </c>
      <c r="G69" s="157" t="s">
        <v>67</v>
      </c>
      <c r="H69" s="158" t="s">
        <v>53</v>
      </c>
      <c r="I69" s="159" t="s">
        <v>34</v>
      </c>
      <c r="J69" s="160">
        <f>IFERROR(VALUE(SUBSTITUTE(SUBSTITUTE(INDEX('LIST P&amp;R'!G:G,MATCH(F69,'LIST P&amp;R'!C:C,0)),")",""),"(", "")),"")</f>
        <v>4</v>
      </c>
      <c r="K69" s="161" t="str">
        <f>IFERROR(INDEX('Matriz de evaluación'!$B$4:$F$8, J69, MATCH(I69, {"A","B","C","D","E"}, 0)), "")</f>
        <v>18 
BAJO</v>
      </c>
      <c r="L69" s="162"/>
      <c r="M69" s="162"/>
      <c r="N69" s="163" t="s">
        <v>645</v>
      </c>
      <c r="O69" s="163" t="s">
        <v>646</v>
      </c>
      <c r="P69" s="163" t="s">
        <v>647</v>
      </c>
      <c r="Q69" s="159" t="s">
        <v>37</v>
      </c>
      <c r="R69" s="159">
        <v>4</v>
      </c>
      <c r="S69" s="160" t="str">
        <f>IFERROR(INDEX('Matriz de evaluación'!$B$4:$F$8, R69, MATCH(Q69, {"A","B","C","D","E"}, 0)), "")</f>
        <v>21 
BAJO</v>
      </c>
      <c r="T69" s="163" t="s">
        <v>648</v>
      </c>
      <c r="U69" s="159" t="s">
        <v>649</v>
      </c>
      <c r="V69" s="159" t="s">
        <v>650</v>
      </c>
    </row>
    <row r="70" spans="1:22" s="78" customFormat="1" ht="409.6" customHeight="1" x14ac:dyDescent="0.25">
      <c r="A70" s="189"/>
      <c r="B70" s="233"/>
      <c r="C70" s="248"/>
      <c r="D70" s="250"/>
      <c r="E70" s="236"/>
      <c r="F70" s="156" t="s">
        <v>491</v>
      </c>
      <c r="G70" s="164" t="s">
        <v>492</v>
      </c>
      <c r="H70" s="158" t="s">
        <v>49</v>
      </c>
      <c r="I70" s="159" t="s">
        <v>34</v>
      </c>
      <c r="J70" s="160">
        <f>IFERROR(VALUE(SUBSTITUTE(SUBSTITUTE(INDEX('LIST P&amp;R'!G:G,MATCH(F70,'LIST P&amp;R'!C:C,0)),")",""),"(", "")),"")</f>
        <v>4</v>
      </c>
      <c r="K70" s="161" t="str">
        <f>IFERROR(INDEX('Matriz de evaluación'!$B$4:$F$8, J70, MATCH(I70, {"A","B","C","D","E"}, 0)), "")</f>
        <v>18 
BAJO</v>
      </c>
      <c r="L70" s="162"/>
      <c r="M70" s="162"/>
      <c r="N70" s="163" t="s">
        <v>645</v>
      </c>
      <c r="O70" s="163" t="s">
        <v>726</v>
      </c>
      <c r="P70" s="163" t="s">
        <v>652</v>
      </c>
      <c r="Q70" s="159" t="s">
        <v>37</v>
      </c>
      <c r="R70" s="159">
        <v>4</v>
      </c>
      <c r="S70" s="160" t="str">
        <f>IFERROR(INDEX('Matriz de evaluación'!$B$4:$F$8, R70, MATCH(Q70, {"A","B","C","D","E"}, 0)), "")</f>
        <v>21 
BAJO</v>
      </c>
      <c r="T70" s="165"/>
      <c r="U70" s="159"/>
      <c r="V70" s="159"/>
    </row>
    <row r="71" spans="1:22" s="78" customFormat="1" ht="409.6" customHeight="1" x14ac:dyDescent="0.25">
      <c r="A71" s="189"/>
      <c r="B71" s="233"/>
      <c r="C71" s="248"/>
      <c r="D71" s="247" t="s">
        <v>735</v>
      </c>
      <c r="E71" s="203"/>
      <c r="F71" s="156" t="s">
        <v>503</v>
      </c>
      <c r="G71" s="157" t="s">
        <v>67</v>
      </c>
      <c r="H71" s="158" t="s">
        <v>53</v>
      </c>
      <c r="I71" s="159" t="s">
        <v>34</v>
      </c>
      <c r="J71" s="160">
        <f>IFERROR(VALUE(SUBSTITUTE(SUBSTITUTE(INDEX('LIST P&amp;R'!G:G,MATCH(F71,'LIST P&amp;R'!C:C,0)),")",""),"(", "")),"")</f>
        <v>4</v>
      </c>
      <c r="K71" s="161" t="str">
        <f>IFERROR(INDEX('Matriz de evaluación'!$B$4:$F$8, J71, MATCH(I71, {"A","B","C","D","E"}, 0)), "")</f>
        <v>18 
BAJO</v>
      </c>
      <c r="L71" s="162"/>
      <c r="M71" s="162"/>
      <c r="N71" s="163" t="s">
        <v>645</v>
      </c>
      <c r="O71" s="163" t="s">
        <v>646</v>
      </c>
      <c r="P71" s="163" t="s">
        <v>647</v>
      </c>
      <c r="Q71" s="159" t="s">
        <v>37</v>
      </c>
      <c r="R71" s="159">
        <v>4</v>
      </c>
      <c r="S71" s="160" t="str">
        <f>IFERROR(INDEX('Matriz de evaluación'!$B$4:$F$8, R71, MATCH(Q71, {"A","B","C","D","E"}, 0)), "")</f>
        <v>21 
BAJO</v>
      </c>
      <c r="T71" s="163" t="s">
        <v>648</v>
      </c>
      <c r="U71" s="159" t="s">
        <v>649</v>
      </c>
      <c r="V71" s="159" t="s">
        <v>650</v>
      </c>
    </row>
    <row r="72" spans="1:22" s="78" customFormat="1" ht="409.6" customHeight="1" x14ac:dyDescent="0.25">
      <c r="A72" s="189"/>
      <c r="B72" s="233"/>
      <c r="C72" s="248"/>
      <c r="D72" s="248"/>
      <c r="E72" s="203"/>
      <c r="F72" s="156" t="s">
        <v>563</v>
      </c>
      <c r="G72" s="164" t="s">
        <v>35</v>
      </c>
      <c r="H72" s="158" t="s">
        <v>36</v>
      </c>
      <c r="I72" s="159" t="s">
        <v>34</v>
      </c>
      <c r="J72" s="160">
        <f>IFERROR(VALUE(SUBSTITUTE(SUBSTITUTE(INDEX('LIST P&amp;R'!G:G,MATCH(F72,'LIST P&amp;R'!C:C,0)),")",""),"(", "")),"")</f>
        <v>3</v>
      </c>
      <c r="K72" s="161" t="str">
        <f>IFERROR(INDEX('Matriz de evaluación'!$B$4:$F$8, J72, MATCH(I72, {"A","B","C","D","E"}, 0)), "")</f>
        <v>13 
MEDIO</v>
      </c>
      <c r="L72" s="162"/>
      <c r="M72" s="162"/>
      <c r="N72" s="163"/>
      <c r="O72" s="163" t="s">
        <v>38</v>
      </c>
      <c r="P72" s="163" t="s">
        <v>653</v>
      </c>
      <c r="Q72" s="159" t="s">
        <v>37</v>
      </c>
      <c r="R72" s="159">
        <v>3</v>
      </c>
      <c r="S72" s="160" t="str">
        <f>IFERROR(INDEX('Matriz de evaluación'!$B$4:$F$8, R72, MATCH(Q72, {"A","B","C","D","E"}, 0)), "")</f>
        <v>17 
BAJO</v>
      </c>
      <c r="T72" s="165"/>
      <c r="U72" s="159"/>
      <c r="V72" s="159"/>
    </row>
    <row r="73" spans="1:22" s="78" customFormat="1" ht="409.6" customHeight="1" x14ac:dyDescent="0.25">
      <c r="A73" s="189"/>
      <c r="B73" s="233"/>
      <c r="C73" s="248"/>
      <c r="D73" s="248"/>
      <c r="E73" s="203"/>
      <c r="F73" s="156" t="s">
        <v>560</v>
      </c>
      <c r="G73" s="196" t="s">
        <v>63</v>
      </c>
      <c r="H73" s="194" t="s">
        <v>64</v>
      </c>
      <c r="I73" s="159" t="s">
        <v>34</v>
      </c>
      <c r="J73" s="160">
        <v>3</v>
      </c>
      <c r="K73" s="161" t="str">
        <f>IFERROR(INDEX('Matriz de evaluación'!$B$4:$F$8, J73, MATCH(I73, {"A","B","C","D","E"}, 0)), "")</f>
        <v>13 
MEDIO</v>
      </c>
      <c r="L73" s="162"/>
      <c r="M73" s="162" t="s">
        <v>655</v>
      </c>
      <c r="N73" s="163"/>
      <c r="O73" s="163" t="s">
        <v>656</v>
      </c>
      <c r="P73" s="163"/>
      <c r="Q73" s="159" t="s">
        <v>37</v>
      </c>
      <c r="R73" s="159">
        <v>3</v>
      </c>
      <c r="S73" s="160" t="str">
        <f>IFERROR(INDEX('Matriz de evaluación'!$B$4:$F$8, R73, MATCH(Q73, {"A","B","C","D","E"}, 0)), "")</f>
        <v>17 
BAJO</v>
      </c>
      <c r="T73" s="165"/>
      <c r="U73" s="159"/>
      <c r="V73" s="159"/>
    </row>
    <row r="74" spans="1:22" s="78" customFormat="1" ht="409.6" customHeight="1" x14ac:dyDescent="0.25">
      <c r="A74" s="189"/>
      <c r="B74" s="233"/>
      <c r="C74" s="248"/>
      <c r="D74" s="248"/>
      <c r="E74" s="203"/>
      <c r="F74" s="193" t="s">
        <v>562</v>
      </c>
      <c r="G74" s="196" t="s">
        <v>65</v>
      </c>
      <c r="H74" s="194" t="s">
        <v>66</v>
      </c>
      <c r="I74" s="159" t="s">
        <v>34</v>
      </c>
      <c r="J74" s="160">
        <v>3</v>
      </c>
      <c r="K74" s="161" t="str">
        <f>IFERROR(INDEX('Matriz de evaluación'!$B$4:$F$8, J74, MATCH(I74, {"A","B","C","D","E"}, 0)), "")</f>
        <v>13 
MEDIO</v>
      </c>
      <c r="L74" s="162"/>
      <c r="M74" s="162" t="s">
        <v>655</v>
      </c>
      <c r="N74" s="163"/>
      <c r="O74" s="163" t="s">
        <v>656</v>
      </c>
      <c r="P74" s="163"/>
      <c r="Q74" s="159" t="s">
        <v>37</v>
      </c>
      <c r="R74" s="159">
        <v>3</v>
      </c>
      <c r="S74" s="160" t="str">
        <f>IFERROR(INDEX('Matriz de evaluación'!$B$4:$F$8, R74, MATCH(Q74, {"A","B","C","D","E"}, 0)), "")</f>
        <v>17 
BAJO</v>
      </c>
      <c r="T74" s="165"/>
      <c r="U74" s="159"/>
      <c r="V74" s="159"/>
    </row>
    <row r="75" spans="1:22" s="78" customFormat="1" ht="409.6" customHeight="1" x14ac:dyDescent="0.25">
      <c r="A75" s="189"/>
      <c r="B75" s="233"/>
      <c r="C75" s="249"/>
      <c r="D75" s="249"/>
      <c r="E75" s="203"/>
      <c r="F75" s="204" t="s">
        <v>558</v>
      </c>
      <c r="G75" s="164" t="s">
        <v>54</v>
      </c>
      <c r="H75" s="158" t="s">
        <v>55</v>
      </c>
      <c r="I75" s="195" t="s">
        <v>34</v>
      </c>
      <c r="J75" s="160">
        <f>IFERROR(VALUE(SUBSTITUTE(SUBSTITUTE(INDEX('LIST P&amp;R'!G:G,MATCH(F75,'LIST P&amp;R'!C:C,0)),")",""),"(", "")),"")</f>
        <v>3</v>
      </c>
      <c r="K75" s="161" t="str">
        <f>IFERROR(INDEX('Matriz de evaluación'!$B$4:$F$8, J75, MATCH(I75, {"A","B","C","D","E"}, 0)), "")</f>
        <v>13 
MEDIO</v>
      </c>
      <c r="L75" s="162"/>
      <c r="M75" s="162"/>
      <c r="N75" s="163"/>
      <c r="O75" s="163" t="s">
        <v>38</v>
      </c>
      <c r="P75" s="163" t="s">
        <v>653</v>
      </c>
      <c r="Q75" s="159" t="s">
        <v>37</v>
      </c>
      <c r="R75" s="159">
        <v>3</v>
      </c>
      <c r="S75" s="160" t="str">
        <f>IFERROR(INDEX('Matriz de evaluación'!$B$4:$F$8, R75, MATCH(Q75, {"A","B","C","D","E"}, 0)), "")</f>
        <v>17 
BAJO</v>
      </c>
      <c r="T75" s="165"/>
      <c r="U75" s="159"/>
      <c r="V75" s="159"/>
    </row>
    <row r="76" spans="1:22" s="216" customFormat="1" ht="409.6" customHeight="1" x14ac:dyDescent="0.25">
      <c r="A76" s="208"/>
      <c r="B76" s="233"/>
      <c r="C76" s="254" t="s">
        <v>668</v>
      </c>
      <c r="D76" s="254" t="s">
        <v>669</v>
      </c>
      <c r="E76" s="254" t="s">
        <v>638</v>
      </c>
      <c r="F76" s="209" t="s">
        <v>558</v>
      </c>
      <c r="G76" s="210" t="s">
        <v>54</v>
      </c>
      <c r="H76" s="210" t="s">
        <v>55</v>
      </c>
      <c r="I76" s="209" t="s">
        <v>34</v>
      </c>
      <c r="J76" s="211">
        <f>IFERROR(VALUE(SUBSTITUTE(SUBSTITUTE(INDEX('LIST P&amp;R'!G:G,MATCH(F76,'LIST P&amp;R'!C:C,0)),")",""),"(", "")),"")</f>
        <v>3</v>
      </c>
      <c r="K76" s="212" t="str">
        <f>IFERROR(INDEX('Matriz de evaluación'!$B$4:$F$8, J76, MATCH(I76, {"A","B","C","D","E"}, 0)), "")</f>
        <v>13 
MEDIO</v>
      </c>
      <c r="L76" s="213"/>
      <c r="M76" s="213"/>
      <c r="N76" s="214"/>
      <c r="O76" s="214" t="s">
        <v>38</v>
      </c>
      <c r="P76" s="214" t="s">
        <v>653</v>
      </c>
      <c r="Q76" s="209" t="s">
        <v>37</v>
      </c>
      <c r="R76" s="209">
        <v>3</v>
      </c>
      <c r="S76" s="211" t="str">
        <f>IFERROR(INDEX('Matriz de evaluación'!$B$4:$F$8, R76, MATCH(Q76, {"A","B","C","D","E"}, 0)), "")</f>
        <v>17 
BAJO</v>
      </c>
      <c r="T76" s="215"/>
      <c r="U76" s="209"/>
      <c r="V76" s="209"/>
    </row>
    <row r="77" spans="1:22" s="216" customFormat="1" ht="409.6" customHeight="1" x14ac:dyDescent="0.25">
      <c r="A77" s="208"/>
      <c r="B77" s="233"/>
      <c r="C77" s="255"/>
      <c r="D77" s="255"/>
      <c r="E77" s="255"/>
      <c r="F77" s="209" t="s">
        <v>605</v>
      </c>
      <c r="G77" s="210" t="s">
        <v>56</v>
      </c>
      <c r="H77" s="210" t="s">
        <v>57</v>
      </c>
      <c r="I77" s="209" t="s">
        <v>34</v>
      </c>
      <c r="J77" s="211">
        <f>IFERROR(VALUE(SUBSTITUTE(SUBSTITUTE(INDEX('LIST P&amp;R'!G:G,MATCH(F77,'LIST P&amp;R'!C:C,0)),")",""),"(", "")),"")</f>
        <v>3</v>
      </c>
      <c r="K77" s="212" t="str">
        <f>IFERROR(INDEX('Matriz de evaluación'!$B$4:$F$8, J77, MATCH(I77, {"A","B","C","D","E"}, 0)), "")</f>
        <v>13 
MEDIO</v>
      </c>
      <c r="L77" s="213"/>
      <c r="M77" s="213"/>
      <c r="N77" s="214" t="s">
        <v>658</v>
      </c>
      <c r="O77" s="214" t="s">
        <v>659</v>
      </c>
      <c r="P77" s="214" t="s">
        <v>660</v>
      </c>
      <c r="Q77" s="209" t="s">
        <v>37</v>
      </c>
      <c r="R77" s="209">
        <v>3</v>
      </c>
      <c r="S77" s="211" t="str">
        <f>IFERROR(INDEX('Matriz de evaluación'!$B$4:$F$8, R77, MATCH(Q77, {"A","B","C","D","E"}, 0)), "")</f>
        <v>17 
BAJO</v>
      </c>
      <c r="T77" s="215"/>
      <c r="U77" s="209"/>
      <c r="V77" s="209"/>
    </row>
    <row r="78" spans="1:22" s="216" customFormat="1" ht="409.6" customHeight="1" x14ac:dyDescent="0.25">
      <c r="A78" s="208"/>
      <c r="B78" s="233"/>
      <c r="C78" s="255"/>
      <c r="D78" s="255"/>
      <c r="E78" s="255"/>
      <c r="F78" s="209" t="s">
        <v>563</v>
      </c>
      <c r="G78" s="210" t="s">
        <v>35</v>
      </c>
      <c r="H78" s="210" t="s">
        <v>36</v>
      </c>
      <c r="I78" s="209" t="s">
        <v>34</v>
      </c>
      <c r="J78" s="211">
        <f>IFERROR(VALUE(SUBSTITUTE(SUBSTITUTE(INDEX('LIST P&amp;R'!G:G,MATCH(F78,'LIST P&amp;R'!C:C,0)),")",""),"(", "")),"")</f>
        <v>3</v>
      </c>
      <c r="K78" s="212" t="str">
        <f>IFERROR(INDEX('Matriz de evaluación'!$B$4:$F$8, J78, MATCH(I78, {"A","B","C","D","E"}, 0)), "")</f>
        <v>13 
MEDIO</v>
      </c>
      <c r="L78" s="213"/>
      <c r="M78" s="213"/>
      <c r="N78" s="214"/>
      <c r="O78" s="214" t="s">
        <v>38</v>
      </c>
      <c r="P78" s="214" t="s">
        <v>653</v>
      </c>
      <c r="Q78" s="209" t="s">
        <v>37</v>
      </c>
      <c r="R78" s="209">
        <v>3</v>
      </c>
      <c r="S78" s="211" t="str">
        <f>IFERROR(INDEX('Matriz de evaluación'!$B$4:$F$8, R78, MATCH(Q78, {"A","B","C","D","E"}, 0)), "")</f>
        <v>17 
BAJO</v>
      </c>
      <c r="T78" s="215"/>
      <c r="U78" s="209"/>
      <c r="V78" s="209"/>
    </row>
    <row r="79" spans="1:22" s="216" customFormat="1" ht="409.6" customHeight="1" x14ac:dyDescent="0.25">
      <c r="A79" s="208"/>
      <c r="B79" s="233"/>
      <c r="C79" s="255"/>
      <c r="D79" s="256"/>
      <c r="E79" s="255"/>
      <c r="F79" s="209" t="s">
        <v>491</v>
      </c>
      <c r="G79" s="210" t="s">
        <v>492</v>
      </c>
      <c r="H79" s="210" t="s">
        <v>49</v>
      </c>
      <c r="I79" s="209" t="s">
        <v>34</v>
      </c>
      <c r="J79" s="211">
        <f>IFERROR(VALUE(SUBSTITUTE(SUBSTITUTE(INDEX('LIST P&amp;R'!G:G,MATCH(F79,'LIST P&amp;R'!C:C,0)),")",""),"(", "")),"")</f>
        <v>4</v>
      </c>
      <c r="K79" s="212" t="str">
        <f>IFERROR(INDEX('Matriz de evaluación'!$B$4:$F$8, J79, MATCH(I79, {"A","B","C","D","E"}, 0)), "")</f>
        <v>18 
BAJO</v>
      </c>
      <c r="L79" s="213"/>
      <c r="M79" s="213"/>
      <c r="N79" s="214" t="s">
        <v>645</v>
      </c>
      <c r="O79" s="214" t="s">
        <v>651</v>
      </c>
      <c r="P79" s="214" t="s">
        <v>652</v>
      </c>
      <c r="Q79" s="209" t="s">
        <v>37</v>
      </c>
      <c r="R79" s="209">
        <v>4</v>
      </c>
      <c r="S79" s="211" t="str">
        <f>IFERROR(INDEX('Matriz de evaluación'!$B$4:$F$8, R79, MATCH(Q79, {"A","B","C","D","E"}, 0)), "")</f>
        <v>21 
BAJO</v>
      </c>
      <c r="T79" s="215"/>
      <c r="U79" s="209"/>
      <c r="V79" s="209"/>
    </row>
    <row r="80" spans="1:22" s="216" customFormat="1" ht="409.6" customHeight="1" x14ac:dyDescent="0.25">
      <c r="A80" s="208"/>
      <c r="B80" s="233"/>
      <c r="C80" s="255"/>
      <c r="D80" s="254" t="s">
        <v>670</v>
      </c>
      <c r="E80" s="255"/>
      <c r="F80" s="209" t="s">
        <v>491</v>
      </c>
      <c r="G80" s="210" t="s">
        <v>48</v>
      </c>
      <c r="H80" s="210" t="s">
        <v>49</v>
      </c>
      <c r="I80" s="209" t="s">
        <v>34</v>
      </c>
      <c r="J80" s="211">
        <f>IFERROR(VALUE(SUBSTITUTE(SUBSTITUTE(INDEX('LIST P&amp;R'!G:G,MATCH(F80,'LIST P&amp;R'!C:C,0)),")",""),"(", "")),"")</f>
        <v>4</v>
      </c>
      <c r="K80" s="212" t="str">
        <f>IFERROR(INDEX('Matriz de evaluación'!$B$4:$F$8, J80, MATCH(I80, {"A","B","C","D","E"}, 0)), "")</f>
        <v>18 
BAJO</v>
      </c>
      <c r="L80" s="213"/>
      <c r="M80" s="213"/>
      <c r="N80" s="214" t="s">
        <v>645</v>
      </c>
      <c r="O80" s="214" t="s">
        <v>651</v>
      </c>
      <c r="P80" s="214" t="s">
        <v>652</v>
      </c>
      <c r="Q80" s="209" t="s">
        <v>37</v>
      </c>
      <c r="R80" s="209">
        <v>4</v>
      </c>
      <c r="S80" s="211" t="str">
        <f>IFERROR(INDEX('Matriz de evaluación'!$B$4:$F$8, R80, MATCH(Q80, {"A","B","C","D","E"}, 0)), "")</f>
        <v>21 
BAJO</v>
      </c>
      <c r="T80" s="215"/>
      <c r="U80" s="209"/>
      <c r="V80" s="209"/>
    </row>
    <row r="81" spans="1:22" s="216" customFormat="1" ht="409.6" customHeight="1" x14ac:dyDescent="0.25">
      <c r="A81" s="208"/>
      <c r="B81" s="233"/>
      <c r="C81" s="255"/>
      <c r="D81" s="255"/>
      <c r="E81" s="255"/>
      <c r="F81" s="209" t="s">
        <v>605</v>
      </c>
      <c r="G81" s="210" t="s">
        <v>56</v>
      </c>
      <c r="H81" s="210" t="s">
        <v>57</v>
      </c>
      <c r="I81" s="209" t="s">
        <v>34</v>
      </c>
      <c r="J81" s="211">
        <f>IFERROR(VALUE(SUBSTITUTE(SUBSTITUTE(INDEX('LIST P&amp;R'!G:G,MATCH(F81,'LIST P&amp;R'!C:C,0)),")",""),"(", "")),"")</f>
        <v>3</v>
      </c>
      <c r="K81" s="212" t="str">
        <f>IFERROR(INDEX('Matriz de evaluación'!$B$4:$F$8, J81, MATCH(I81, {"A","B","C","D","E"}, 0)), "")</f>
        <v>13 
MEDIO</v>
      </c>
      <c r="L81" s="213"/>
      <c r="M81" s="213"/>
      <c r="N81" s="214" t="s">
        <v>658</v>
      </c>
      <c r="O81" s="214" t="s">
        <v>659</v>
      </c>
      <c r="P81" s="214" t="s">
        <v>660</v>
      </c>
      <c r="Q81" s="209" t="s">
        <v>37</v>
      </c>
      <c r="R81" s="209">
        <v>3</v>
      </c>
      <c r="S81" s="211" t="str">
        <f>IFERROR(INDEX('Matriz de evaluación'!$B$4:$F$8, R81, MATCH(Q81, {"A","B","C","D","E"}, 0)), "")</f>
        <v>17 
BAJO</v>
      </c>
      <c r="T81" s="215"/>
      <c r="U81" s="209"/>
      <c r="V81" s="209"/>
    </row>
    <row r="82" spans="1:22" s="216" customFormat="1" ht="409.6" customHeight="1" x14ac:dyDescent="0.25">
      <c r="A82" s="208"/>
      <c r="B82" s="233"/>
      <c r="C82" s="255"/>
      <c r="D82" s="255"/>
      <c r="E82" s="255"/>
      <c r="F82" s="209" t="s">
        <v>558</v>
      </c>
      <c r="G82" s="210" t="s">
        <v>54</v>
      </c>
      <c r="H82" s="210" t="s">
        <v>55</v>
      </c>
      <c r="I82" s="209" t="s">
        <v>34</v>
      </c>
      <c r="J82" s="211">
        <f>IFERROR(VALUE(SUBSTITUTE(SUBSTITUTE(INDEX('LIST P&amp;R'!G:G,MATCH(F82,'LIST P&amp;R'!C:C,0)),")",""),"(", "")),"")</f>
        <v>3</v>
      </c>
      <c r="K82" s="212" t="str">
        <f>IFERROR(INDEX('Matriz de evaluación'!$B$4:$F$8, J82, MATCH(I82, {"A","B","C","D","E"}, 0)), "")</f>
        <v>13 
MEDIO</v>
      </c>
      <c r="L82" s="213"/>
      <c r="M82" s="213"/>
      <c r="N82" s="214"/>
      <c r="O82" s="214" t="s">
        <v>38</v>
      </c>
      <c r="P82" s="214" t="s">
        <v>653</v>
      </c>
      <c r="Q82" s="209" t="s">
        <v>37</v>
      </c>
      <c r="R82" s="209">
        <v>3</v>
      </c>
      <c r="S82" s="211" t="str">
        <f>IFERROR(INDEX('Matriz de evaluación'!$B$4:$F$8, R82, MATCH(Q82, {"A","B","C","D","E"}, 0)), "")</f>
        <v>17 
BAJO</v>
      </c>
      <c r="T82" s="215"/>
      <c r="U82" s="209"/>
      <c r="V82" s="209"/>
    </row>
    <row r="83" spans="1:22" s="216" customFormat="1" ht="409.6" customHeight="1" x14ac:dyDescent="0.25">
      <c r="A83" s="208"/>
      <c r="B83" s="233"/>
      <c r="C83" s="255"/>
      <c r="D83" s="256"/>
      <c r="E83" s="255"/>
      <c r="F83" s="209" t="s">
        <v>503</v>
      </c>
      <c r="G83" s="217" t="s">
        <v>67</v>
      </c>
      <c r="H83" s="210" t="s">
        <v>53</v>
      </c>
      <c r="I83" s="209" t="s">
        <v>34</v>
      </c>
      <c r="J83" s="211">
        <f>IFERROR(VALUE(SUBSTITUTE(SUBSTITUTE(INDEX('LIST P&amp;R'!G:G,MATCH(F83,'LIST P&amp;R'!C:C,0)),")",""),"(", "")),"")</f>
        <v>4</v>
      </c>
      <c r="K83" s="212" t="str">
        <f>IFERROR(INDEX('Matriz de evaluación'!$B$4:$F$8, J83, MATCH(I83, {"A","B","C","D","E"}, 0)), "")</f>
        <v>18 
BAJO</v>
      </c>
      <c r="L83" s="213"/>
      <c r="M83" s="213"/>
      <c r="N83" s="214" t="s">
        <v>645</v>
      </c>
      <c r="O83" s="214" t="s">
        <v>646</v>
      </c>
      <c r="P83" s="214" t="s">
        <v>647</v>
      </c>
      <c r="Q83" s="209" t="s">
        <v>37</v>
      </c>
      <c r="R83" s="209">
        <v>4</v>
      </c>
      <c r="S83" s="211" t="str">
        <f>IFERROR(INDEX('Matriz de evaluación'!$B$4:$F$8, R83, MATCH(Q83, {"A","B","C","D","E"}, 0)), "")</f>
        <v>21 
BAJO</v>
      </c>
      <c r="T83" s="214" t="s">
        <v>648</v>
      </c>
      <c r="U83" s="209" t="s">
        <v>649</v>
      </c>
      <c r="V83" s="209" t="s">
        <v>650</v>
      </c>
    </row>
    <row r="84" spans="1:22" s="216" customFormat="1" ht="409.6" customHeight="1" x14ac:dyDescent="0.25">
      <c r="A84" s="208"/>
      <c r="B84" s="233"/>
      <c r="C84" s="255"/>
      <c r="D84" s="254" t="s">
        <v>737</v>
      </c>
      <c r="E84" s="255"/>
      <c r="F84" s="209" t="s">
        <v>520</v>
      </c>
      <c r="G84" s="217" t="s">
        <v>521</v>
      </c>
      <c r="H84" s="210" t="s">
        <v>522</v>
      </c>
      <c r="I84" s="209" t="s">
        <v>34</v>
      </c>
      <c r="J84" s="211">
        <f>IFERROR(VALUE(SUBSTITUTE(SUBSTITUTE(INDEX('LIST P&amp;R'!G:G,MATCH(F84,'LIST P&amp;R'!C:C,0)),")",""),"(", "")),"")</f>
        <v>2</v>
      </c>
      <c r="K84" s="212" t="str">
        <f>IFERROR(INDEX('Matriz de evaluación'!$B$4:$F$8, J84, MATCH(I84, {"A","B","C","D","E"}, 0)), "")</f>
        <v>8 
ALTO</v>
      </c>
      <c r="L84" s="213"/>
      <c r="M84" s="213"/>
      <c r="N84" s="214"/>
      <c r="O84" s="214" t="s">
        <v>671</v>
      </c>
      <c r="P84" s="214" t="s">
        <v>672</v>
      </c>
      <c r="Q84" s="209" t="s">
        <v>37</v>
      </c>
      <c r="R84" s="209">
        <v>2</v>
      </c>
      <c r="S84" s="211" t="str">
        <f>IFERROR(INDEX('Matriz de evaluación'!$B$4:$F$8, R84, MATCH(Q84, {"A","B","C","D","E"}, 0)), "")</f>
        <v>12 
MEDIO</v>
      </c>
      <c r="T84" s="214"/>
      <c r="U84" s="209"/>
      <c r="V84" s="209"/>
    </row>
    <row r="85" spans="1:22" s="216" customFormat="1" ht="409.6" customHeight="1" x14ac:dyDescent="0.25">
      <c r="A85" s="208"/>
      <c r="B85" s="233"/>
      <c r="C85" s="256"/>
      <c r="D85" s="256"/>
      <c r="E85" s="256"/>
      <c r="F85" s="209" t="s">
        <v>558</v>
      </c>
      <c r="G85" s="210" t="s">
        <v>54</v>
      </c>
      <c r="H85" s="210" t="s">
        <v>55</v>
      </c>
      <c r="I85" s="209" t="s">
        <v>34</v>
      </c>
      <c r="J85" s="211">
        <f>IFERROR(VALUE(SUBSTITUTE(SUBSTITUTE(INDEX('LIST P&amp;R'!G:G,MATCH(F85,'LIST P&amp;R'!C:C,0)),")",""),"(", "")),"")</f>
        <v>3</v>
      </c>
      <c r="K85" s="212" t="str">
        <f>IFERROR(INDEX('Matriz de evaluación'!$B$4:$F$8, J85, MATCH(I85, {"A","B","C","D","E"}, 0)), "")</f>
        <v>13 
MEDIO</v>
      </c>
      <c r="L85" s="213"/>
      <c r="M85" s="213"/>
      <c r="N85" s="214"/>
      <c r="O85" s="214" t="s">
        <v>38</v>
      </c>
      <c r="P85" s="214" t="s">
        <v>653</v>
      </c>
      <c r="Q85" s="209" t="s">
        <v>37</v>
      </c>
      <c r="R85" s="209">
        <v>3</v>
      </c>
      <c r="S85" s="211" t="str">
        <f>IFERROR(INDEX('Matriz de evaluación'!$B$4:$F$8, R85, MATCH(Q85, {"A","B","C","D","E"}, 0)), "")</f>
        <v>17 
BAJO</v>
      </c>
      <c r="T85" s="215"/>
      <c r="U85" s="209"/>
      <c r="V85" s="209"/>
    </row>
    <row r="86" spans="1:22" s="78" customFormat="1" ht="409.6" customHeight="1" x14ac:dyDescent="0.25">
      <c r="A86" s="189"/>
      <c r="B86" s="233"/>
      <c r="C86" s="257" t="s">
        <v>736</v>
      </c>
      <c r="D86" s="257" t="s">
        <v>738</v>
      </c>
      <c r="E86" s="246" t="s">
        <v>638</v>
      </c>
      <c r="F86" s="156" t="s">
        <v>558</v>
      </c>
      <c r="G86" s="164" t="s">
        <v>54</v>
      </c>
      <c r="H86" s="158" t="s">
        <v>55</v>
      </c>
      <c r="I86" s="159" t="s">
        <v>34</v>
      </c>
      <c r="J86" s="160">
        <f>IFERROR(VALUE(SUBSTITUTE(SUBSTITUTE(INDEX('LIST P&amp;R'!G:G,MATCH(F86,'LIST P&amp;R'!C:C,0)),")",""),"(", "")),"")</f>
        <v>3</v>
      </c>
      <c r="K86" s="161" t="str">
        <f>IFERROR(INDEX('Matriz de evaluación'!$B$4:$F$8, J86, MATCH(I86, {"A","B","C","D","E"}, 0)), "")</f>
        <v>13 
MEDIO</v>
      </c>
      <c r="L86" s="162"/>
      <c r="M86" s="162"/>
      <c r="N86" s="163"/>
      <c r="O86" s="163" t="s">
        <v>38</v>
      </c>
      <c r="P86" s="163" t="s">
        <v>653</v>
      </c>
      <c r="Q86" s="159" t="s">
        <v>37</v>
      </c>
      <c r="R86" s="159">
        <v>3</v>
      </c>
      <c r="S86" s="160" t="str">
        <f>IFERROR(INDEX('Matriz de evaluación'!$B$4:$F$8, R86, MATCH(Q86, {"A","B","C","D","E"}, 0)), "")</f>
        <v>17 
BAJO</v>
      </c>
      <c r="T86" s="165"/>
      <c r="U86" s="159"/>
      <c r="V86" s="159"/>
    </row>
    <row r="87" spans="1:22" s="78" customFormat="1" ht="409.6" customHeight="1" x14ac:dyDescent="0.25">
      <c r="A87" s="189"/>
      <c r="B87" s="233"/>
      <c r="C87" s="258"/>
      <c r="D87" s="258"/>
      <c r="E87" s="235"/>
      <c r="F87" s="156" t="s">
        <v>605</v>
      </c>
      <c r="G87" s="164" t="s">
        <v>56</v>
      </c>
      <c r="H87" s="158" t="s">
        <v>57</v>
      </c>
      <c r="I87" s="159" t="s">
        <v>34</v>
      </c>
      <c r="J87" s="160">
        <f>IFERROR(VALUE(SUBSTITUTE(SUBSTITUTE(INDEX('LIST P&amp;R'!G:G,MATCH(F87,'LIST P&amp;R'!C:C,0)),")",""),"(", "")),"")</f>
        <v>3</v>
      </c>
      <c r="K87" s="161" t="str">
        <f>IFERROR(INDEX('Matriz de evaluación'!$B$4:$F$8, J87, MATCH(I87, {"A","B","C","D","E"}, 0)), "")</f>
        <v>13 
MEDIO</v>
      </c>
      <c r="L87" s="162"/>
      <c r="M87" s="162"/>
      <c r="N87" s="163" t="s">
        <v>658</v>
      </c>
      <c r="O87" s="163" t="s">
        <v>659</v>
      </c>
      <c r="P87" s="163" t="s">
        <v>660</v>
      </c>
      <c r="Q87" s="159" t="s">
        <v>37</v>
      </c>
      <c r="R87" s="159">
        <v>3</v>
      </c>
      <c r="S87" s="160" t="str">
        <f>IFERROR(INDEX('Matriz de evaluación'!$B$4:$F$8, R87, MATCH(Q87, {"A","B","C","D","E"}, 0)), "")</f>
        <v>17 
BAJO</v>
      </c>
      <c r="T87" s="165"/>
      <c r="U87" s="159"/>
      <c r="V87" s="159"/>
    </row>
    <row r="88" spans="1:22" s="78" customFormat="1" ht="409.6" customHeight="1" x14ac:dyDescent="0.25">
      <c r="A88" s="189"/>
      <c r="B88" s="233"/>
      <c r="C88" s="258"/>
      <c r="D88" s="258"/>
      <c r="E88" s="235"/>
      <c r="F88" s="156" t="s">
        <v>563</v>
      </c>
      <c r="G88" s="164" t="s">
        <v>35</v>
      </c>
      <c r="H88" s="158" t="s">
        <v>36</v>
      </c>
      <c r="I88" s="159" t="s">
        <v>34</v>
      </c>
      <c r="J88" s="160">
        <f>IFERROR(VALUE(SUBSTITUTE(SUBSTITUTE(INDEX('LIST P&amp;R'!G:G,MATCH(F88,'LIST P&amp;R'!C:C,0)),")",""),"(", "")),"")</f>
        <v>3</v>
      </c>
      <c r="K88" s="161" t="str">
        <f>IFERROR(INDEX('Matriz de evaluación'!$B$4:$F$8, J88, MATCH(I88, {"A","B","C","D","E"}, 0)), "")</f>
        <v>13 
MEDIO</v>
      </c>
      <c r="L88" s="162"/>
      <c r="M88" s="162"/>
      <c r="N88" s="163"/>
      <c r="O88" s="163" t="s">
        <v>38</v>
      </c>
      <c r="P88" s="163" t="s">
        <v>653</v>
      </c>
      <c r="Q88" s="159" t="s">
        <v>37</v>
      </c>
      <c r="R88" s="159">
        <v>3</v>
      </c>
      <c r="S88" s="160" t="str">
        <f>IFERROR(INDEX('Matriz de evaluación'!$B$4:$F$8, R88, MATCH(Q88, {"A","B","C","D","E"}, 0)), "")</f>
        <v>17 
BAJO</v>
      </c>
      <c r="T88" s="165"/>
      <c r="U88" s="159"/>
      <c r="V88" s="159"/>
    </row>
    <row r="89" spans="1:22" s="78" customFormat="1" ht="409.6" customHeight="1" x14ac:dyDescent="0.25">
      <c r="A89" s="189"/>
      <c r="B89" s="233"/>
      <c r="C89" s="258"/>
      <c r="D89" s="259"/>
      <c r="E89" s="235"/>
      <c r="F89" s="156" t="s">
        <v>491</v>
      </c>
      <c r="G89" s="164" t="s">
        <v>492</v>
      </c>
      <c r="H89" s="158" t="s">
        <v>49</v>
      </c>
      <c r="I89" s="159" t="s">
        <v>34</v>
      </c>
      <c r="J89" s="160">
        <f>IFERROR(VALUE(SUBSTITUTE(SUBSTITUTE(INDEX('LIST P&amp;R'!G:G,MATCH(F89,'LIST P&amp;R'!C:C,0)),")",""),"(", "")),"")</f>
        <v>4</v>
      </c>
      <c r="K89" s="161" t="str">
        <f>IFERROR(INDEX('Matriz de evaluación'!$B$4:$F$8, J89, MATCH(I89, {"A","B","C","D","E"}, 0)), "")</f>
        <v>18 
BAJO</v>
      </c>
      <c r="L89" s="162"/>
      <c r="M89" s="162"/>
      <c r="N89" s="163" t="s">
        <v>645</v>
      </c>
      <c r="O89" s="163" t="s">
        <v>651</v>
      </c>
      <c r="P89" s="163" t="s">
        <v>652</v>
      </c>
      <c r="Q89" s="159" t="s">
        <v>37</v>
      </c>
      <c r="R89" s="159">
        <v>4</v>
      </c>
      <c r="S89" s="160" t="str">
        <f>IFERROR(INDEX('Matriz de evaluación'!$B$4:$F$8, R89, MATCH(Q89, {"A","B","C","D","E"}, 0)), "")</f>
        <v>21 
BAJO</v>
      </c>
      <c r="T89" s="165"/>
      <c r="U89" s="159"/>
      <c r="V89" s="159"/>
    </row>
    <row r="90" spans="1:22" s="78" customFormat="1" ht="409.6" customHeight="1" x14ac:dyDescent="0.25">
      <c r="A90" s="189"/>
      <c r="B90" s="233"/>
      <c r="C90" s="258"/>
      <c r="D90" s="257" t="s">
        <v>673</v>
      </c>
      <c r="E90" s="235"/>
      <c r="F90" s="156" t="s">
        <v>491</v>
      </c>
      <c r="G90" s="164" t="s">
        <v>48</v>
      </c>
      <c r="H90" s="158" t="s">
        <v>49</v>
      </c>
      <c r="I90" s="159" t="s">
        <v>34</v>
      </c>
      <c r="J90" s="160">
        <f>IFERROR(VALUE(SUBSTITUTE(SUBSTITUTE(INDEX('LIST P&amp;R'!G:G,MATCH(F90,'LIST P&amp;R'!C:C,0)),")",""),"(", "")),"")</f>
        <v>4</v>
      </c>
      <c r="K90" s="161" t="str">
        <f>IFERROR(INDEX('Matriz de evaluación'!$B$4:$F$8, J90, MATCH(I90, {"A","B","C","D","E"}, 0)), "")</f>
        <v>18 
BAJO</v>
      </c>
      <c r="L90" s="162"/>
      <c r="M90" s="162"/>
      <c r="N90" s="163" t="s">
        <v>645</v>
      </c>
      <c r="O90" s="163" t="s">
        <v>651</v>
      </c>
      <c r="P90" s="163" t="s">
        <v>652</v>
      </c>
      <c r="Q90" s="159" t="s">
        <v>37</v>
      </c>
      <c r="R90" s="159">
        <v>4</v>
      </c>
      <c r="S90" s="160" t="str">
        <f>IFERROR(INDEX('Matriz de evaluación'!$B$4:$F$8, R90, MATCH(Q90, {"A","B","C","D","E"}, 0)), "")</f>
        <v>21 
BAJO</v>
      </c>
      <c r="T90" s="165"/>
      <c r="U90" s="159"/>
      <c r="V90" s="159"/>
    </row>
    <row r="91" spans="1:22" s="78" customFormat="1" ht="409.6" customHeight="1" x14ac:dyDescent="0.25">
      <c r="A91" s="189"/>
      <c r="B91" s="233"/>
      <c r="C91" s="258"/>
      <c r="D91" s="258"/>
      <c r="E91" s="235"/>
      <c r="F91" s="156" t="s">
        <v>605</v>
      </c>
      <c r="G91" s="164" t="s">
        <v>56</v>
      </c>
      <c r="H91" s="158" t="s">
        <v>57</v>
      </c>
      <c r="I91" s="159" t="s">
        <v>34</v>
      </c>
      <c r="J91" s="160">
        <f>IFERROR(VALUE(SUBSTITUTE(SUBSTITUTE(INDEX('LIST P&amp;R'!G:G,MATCH(F91,'LIST P&amp;R'!C:C,0)),")",""),"(", "")),"")</f>
        <v>3</v>
      </c>
      <c r="K91" s="161" t="str">
        <f>IFERROR(INDEX('Matriz de evaluación'!$B$4:$F$8, J91, MATCH(I91, {"A","B","C","D","E"}, 0)), "")</f>
        <v>13 
MEDIO</v>
      </c>
      <c r="L91" s="162"/>
      <c r="M91" s="162"/>
      <c r="N91" s="163" t="s">
        <v>658</v>
      </c>
      <c r="O91" s="163" t="s">
        <v>659</v>
      </c>
      <c r="P91" s="163" t="s">
        <v>660</v>
      </c>
      <c r="Q91" s="159" t="s">
        <v>37</v>
      </c>
      <c r="R91" s="159">
        <v>3</v>
      </c>
      <c r="S91" s="160" t="str">
        <f>IFERROR(INDEX('Matriz de evaluación'!$B$4:$F$8, R91, MATCH(Q91, {"A","B","C","D","E"}, 0)), "")</f>
        <v>17 
BAJO</v>
      </c>
      <c r="T91" s="165"/>
      <c r="U91" s="159"/>
      <c r="V91" s="159"/>
    </row>
    <row r="92" spans="1:22" s="78" customFormat="1" ht="409.6" customHeight="1" x14ac:dyDescent="0.25">
      <c r="A92" s="189"/>
      <c r="B92" s="233"/>
      <c r="C92" s="258"/>
      <c r="D92" s="258"/>
      <c r="E92" s="235"/>
      <c r="F92" s="156" t="s">
        <v>558</v>
      </c>
      <c r="G92" s="164" t="s">
        <v>54</v>
      </c>
      <c r="H92" s="158" t="s">
        <v>55</v>
      </c>
      <c r="I92" s="159" t="s">
        <v>34</v>
      </c>
      <c r="J92" s="160">
        <f>IFERROR(VALUE(SUBSTITUTE(SUBSTITUTE(INDEX('LIST P&amp;R'!G:G,MATCH(F92,'LIST P&amp;R'!C:C,0)),")",""),"(", "")),"")</f>
        <v>3</v>
      </c>
      <c r="K92" s="161" t="str">
        <f>IFERROR(INDEX('Matriz de evaluación'!$B$4:$F$8, J92, MATCH(I92, {"A","B","C","D","E"}, 0)), "")</f>
        <v>13 
MEDIO</v>
      </c>
      <c r="L92" s="162"/>
      <c r="M92" s="162"/>
      <c r="N92" s="163"/>
      <c r="O92" s="163" t="s">
        <v>38</v>
      </c>
      <c r="P92" s="163" t="s">
        <v>653</v>
      </c>
      <c r="Q92" s="159" t="s">
        <v>37</v>
      </c>
      <c r="R92" s="159">
        <v>3</v>
      </c>
      <c r="S92" s="160" t="str">
        <f>IFERROR(INDEX('Matriz de evaluación'!$B$4:$F$8, R92, MATCH(Q92, {"A","B","C","D","E"}, 0)), "")</f>
        <v>17 
BAJO</v>
      </c>
      <c r="T92" s="165"/>
      <c r="U92" s="159"/>
      <c r="V92" s="159"/>
    </row>
    <row r="93" spans="1:22" s="78" customFormat="1" ht="409.6" customHeight="1" x14ac:dyDescent="0.25">
      <c r="A93" s="189"/>
      <c r="B93" s="233"/>
      <c r="C93" s="259"/>
      <c r="D93" s="259"/>
      <c r="E93" s="236"/>
      <c r="F93" s="156" t="s">
        <v>503</v>
      </c>
      <c r="G93" s="157" t="s">
        <v>67</v>
      </c>
      <c r="H93" s="158" t="s">
        <v>53</v>
      </c>
      <c r="I93" s="159" t="s">
        <v>34</v>
      </c>
      <c r="J93" s="160">
        <f>IFERROR(VALUE(SUBSTITUTE(SUBSTITUTE(INDEX('LIST P&amp;R'!G:G,MATCH(F93,'LIST P&amp;R'!C:C,0)),")",""),"(", "")),"")</f>
        <v>4</v>
      </c>
      <c r="K93" s="161" t="str">
        <f>IFERROR(INDEX('Matriz de evaluación'!$B$4:$F$8, J93, MATCH(I93, {"A","B","C","D","E"}, 0)), "")</f>
        <v>18 
BAJO</v>
      </c>
      <c r="L93" s="162"/>
      <c r="M93" s="162"/>
      <c r="N93" s="163" t="s">
        <v>645</v>
      </c>
      <c r="O93" s="163" t="s">
        <v>646</v>
      </c>
      <c r="P93" s="163" t="s">
        <v>647</v>
      </c>
      <c r="Q93" s="159" t="s">
        <v>37</v>
      </c>
      <c r="R93" s="159">
        <v>4</v>
      </c>
      <c r="S93" s="160" t="str">
        <f>IFERROR(INDEX('Matriz de evaluación'!$B$4:$F$8, R93, MATCH(Q93, {"A","B","C","D","E"}, 0)), "")</f>
        <v>21 
BAJO</v>
      </c>
      <c r="T93" s="163" t="s">
        <v>648</v>
      </c>
      <c r="U93" s="159" t="s">
        <v>649</v>
      </c>
      <c r="V93" s="159" t="s">
        <v>650</v>
      </c>
    </row>
    <row r="94" spans="1:22" s="78" customFormat="1" ht="409.6" customHeight="1" x14ac:dyDescent="0.25">
      <c r="A94" s="189"/>
      <c r="B94" s="233"/>
      <c r="C94" s="205"/>
      <c r="D94" s="257" t="s">
        <v>739</v>
      </c>
      <c r="E94" s="203"/>
      <c r="F94" s="193" t="s">
        <v>613</v>
      </c>
      <c r="G94" s="194" t="s">
        <v>79</v>
      </c>
      <c r="H94" s="194" t="s">
        <v>80</v>
      </c>
      <c r="I94" s="207" t="s">
        <v>37</v>
      </c>
      <c r="J94" s="160">
        <f>IFERROR(VALUE(SUBSTITUTE(SUBSTITUTE(INDEX('LIST P&amp;R'!G:G,MATCH(F94,'LIST P&amp;R'!C:C,0)),")",""),"(", "")),"")</f>
        <v>2</v>
      </c>
      <c r="K94" s="161" t="str">
        <f>IFERROR(INDEX('Matriz de evaluación'!$B$4:$F$8, J94, MATCH(I94, {"A","B","C","D","E"}, 0)), "")</f>
        <v>12 
MEDIO</v>
      </c>
      <c r="L94" s="162"/>
      <c r="M94" s="162"/>
      <c r="N94" s="200" t="s">
        <v>747</v>
      </c>
      <c r="O94" s="200" t="s">
        <v>748</v>
      </c>
      <c r="P94" s="200" t="s">
        <v>749</v>
      </c>
      <c r="Q94" s="159" t="s">
        <v>37</v>
      </c>
      <c r="R94" s="159">
        <v>5</v>
      </c>
      <c r="S94" s="160" t="str">
        <f>IFERROR(INDEX('Matriz de evaluación'!$B$4:$F$8, R94, MATCH(Q94, {"A","B","C","D","E"}, 0)), "")</f>
        <v>24 
BAJO</v>
      </c>
      <c r="T94" s="163"/>
      <c r="U94" s="159"/>
      <c r="V94" s="159"/>
    </row>
    <row r="95" spans="1:22" s="78" customFormat="1" ht="409.6" customHeight="1" x14ac:dyDescent="0.25">
      <c r="A95" s="189"/>
      <c r="B95" s="233"/>
      <c r="C95" s="205"/>
      <c r="D95" s="258"/>
      <c r="E95" s="203"/>
      <c r="F95" s="197" t="s">
        <v>520</v>
      </c>
      <c r="G95" s="157" t="s">
        <v>521</v>
      </c>
      <c r="H95" s="158" t="s">
        <v>522</v>
      </c>
      <c r="I95" s="159" t="s">
        <v>34</v>
      </c>
      <c r="J95" s="160">
        <f>IFERROR(VALUE(SUBSTITUTE(SUBSTITUTE(INDEX('LIST P&amp;R'!G:G,MATCH(F95,'LIST P&amp;R'!C:C,0)),")",""),"(", "")),"")</f>
        <v>2</v>
      </c>
      <c r="K95" s="161" t="str">
        <f>IFERROR(INDEX('Matriz de evaluación'!$B$4:$F$8, J95, MATCH(I95, {"A","B","C","D","E"}, 0)), "")</f>
        <v>8 
ALTO</v>
      </c>
      <c r="L95" s="162"/>
      <c r="M95" s="162"/>
      <c r="N95" s="163"/>
      <c r="O95" s="163" t="s">
        <v>671</v>
      </c>
      <c r="P95" s="163" t="s">
        <v>672</v>
      </c>
      <c r="Q95" s="159" t="s">
        <v>37</v>
      </c>
      <c r="R95" s="159">
        <v>2</v>
      </c>
      <c r="S95" s="160" t="str">
        <f>IFERROR(INDEX('Matriz de evaluación'!$B$4:$F$8, R95, MATCH(Q95, {"A","B","C","D","E"}, 0)), "")</f>
        <v>12 
MEDIO</v>
      </c>
      <c r="T95" s="163"/>
      <c r="U95" s="159"/>
      <c r="V95" s="159"/>
    </row>
    <row r="96" spans="1:22" s="78" customFormat="1" ht="409.6" customHeight="1" x14ac:dyDescent="0.25">
      <c r="A96" s="189"/>
      <c r="B96" s="233"/>
      <c r="C96" s="205"/>
      <c r="D96" s="258"/>
      <c r="E96" s="203"/>
      <c r="F96" s="156" t="s">
        <v>475</v>
      </c>
      <c r="G96" s="164" t="s">
        <v>58</v>
      </c>
      <c r="H96" s="158" t="s">
        <v>59</v>
      </c>
      <c r="I96" s="159" t="s">
        <v>34</v>
      </c>
      <c r="J96" s="160">
        <v>2</v>
      </c>
      <c r="K96" s="161" t="str">
        <f>IFERROR(INDEX('Matriz de evaluación'!$B$4:$F$8, J96, MATCH(I96, {"A","B","C","D","E"}, 0)), "")</f>
        <v>8 
ALTO</v>
      </c>
      <c r="L96" s="162"/>
      <c r="M96" s="162" t="s">
        <v>662</v>
      </c>
      <c r="N96" s="163"/>
      <c r="O96" s="163" t="s">
        <v>663</v>
      </c>
      <c r="P96" s="163" t="s">
        <v>664</v>
      </c>
      <c r="Q96" s="159" t="s">
        <v>37</v>
      </c>
      <c r="R96" s="159">
        <v>3</v>
      </c>
      <c r="S96" s="160" t="str">
        <f>IFERROR(INDEX('Matriz de evaluación'!$B$4:$F$8, R96, MATCH(Q96, {"A","B","C","D","E"}, 0)), "")</f>
        <v>17 
BAJO</v>
      </c>
      <c r="T96" s="163"/>
      <c r="U96" s="159"/>
      <c r="V96" s="159"/>
    </row>
    <row r="97" spans="1:22" s="78" customFormat="1" ht="409.6" customHeight="1" x14ac:dyDescent="0.25">
      <c r="A97" s="189"/>
      <c r="B97" s="233"/>
      <c r="C97" s="205"/>
      <c r="D97" s="258"/>
      <c r="E97" s="203"/>
      <c r="F97" s="193" t="s">
        <v>567</v>
      </c>
      <c r="G97" s="194" t="s">
        <v>82</v>
      </c>
      <c r="H97" s="194" t="s">
        <v>83</v>
      </c>
      <c r="I97" s="207" t="s">
        <v>34</v>
      </c>
      <c r="J97" s="160">
        <v>2</v>
      </c>
      <c r="K97" s="161" t="str">
        <f>IFERROR(INDEX('Matriz de evaluación'!$B$4:$F$8, J97, MATCH(I97, {"A","B","C","D","E"}, 0)), "")</f>
        <v>8 
ALTO</v>
      </c>
      <c r="L97" s="162"/>
      <c r="M97" s="162"/>
      <c r="N97" s="172" t="s">
        <v>665</v>
      </c>
      <c r="O97" s="172" t="s">
        <v>666</v>
      </c>
      <c r="P97" s="172" t="s">
        <v>667</v>
      </c>
      <c r="Q97" s="168" t="s">
        <v>37</v>
      </c>
      <c r="R97" s="168">
        <v>2</v>
      </c>
      <c r="S97" s="169" t="str">
        <f>IFERROR(INDEX('Matriz de evaluación'!$B$4:$F$8, R97, MATCH(Q97, {"A","B","C","D","E"}, 0)), "")</f>
        <v>12 
MEDIO</v>
      </c>
      <c r="T97" s="163"/>
      <c r="U97" s="159"/>
      <c r="V97" s="159"/>
    </row>
    <row r="98" spans="1:22" s="78" customFormat="1" ht="409.6" customHeight="1" x14ac:dyDescent="0.25">
      <c r="A98" s="189"/>
      <c r="B98" s="233"/>
      <c r="C98" s="205"/>
      <c r="D98" s="258"/>
      <c r="E98" s="203"/>
      <c r="F98" s="222" t="s">
        <v>477</v>
      </c>
      <c r="G98" s="223" t="s">
        <v>42</v>
      </c>
      <c r="H98" s="198" t="s">
        <v>43</v>
      </c>
      <c r="I98" s="207" t="s">
        <v>37</v>
      </c>
      <c r="J98" s="160">
        <v>3</v>
      </c>
      <c r="K98" s="161" t="str">
        <f>IFERROR(INDEX('Matriz de evaluación'!$B$4:$F$8, J98, MATCH(I98, {"A","B","C","D","E"}, 0)), "")</f>
        <v>17 
BAJO</v>
      </c>
      <c r="L98" s="162"/>
      <c r="M98" s="162"/>
      <c r="N98" s="163"/>
      <c r="O98" s="157" t="s">
        <v>724</v>
      </c>
      <c r="P98" s="163"/>
      <c r="Q98" s="159" t="s">
        <v>37</v>
      </c>
      <c r="R98" s="159">
        <v>4</v>
      </c>
      <c r="S98" s="169" t="str">
        <f>IFERROR(INDEX('Matriz de evaluación'!$B$4:$F$8, R98, MATCH(Q98, {"A","B","C","D","E"}, 0)), "")</f>
        <v>21 
BAJO</v>
      </c>
      <c r="T98" s="163"/>
      <c r="U98" s="159"/>
      <c r="V98" s="159"/>
    </row>
    <row r="99" spans="1:22" s="78" customFormat="1" ht="409.6" customHeight="1" x14ac:dyDescent="0.25">
      <c r="A99" s="189"/>
      <c r="B99" s="233"/>
      <c r="C99" s="205"/>
      <c r="D99" s="259"/>
      <c r="E99" s="203"/>
      <c r="F99" s="193" t="s">
        <v>572</v>
      </c>
      <c r="G99" s="194" t="s">
        <v>299</v>
      </c>
      <c r="H99" s="194" t="s">
        <v>300</v>
      </c>
      <c r="I99" s="207" t="s">
        <v>34</v>
      </c>
      <c r="J99" s="160">
        <v>3</v>
      </c>
      <c r="K99" s="161" t="str">
        <f>IFERROR(INDEX('Matriz de evaluación'!$B$4:$F$8, J99, MATCH(I99, {"A","B","C","D","E"}, 0)), "")</f>
        <v>13 
MEDIO</v>
      </c>
      <c r="L99" s="162"/>
      <c r="M99" s="162"/>
      <c r="N99" s="200" t="s">
        <v>743</v>
      </c>
      <c r="O99" s="200" t="s">
        <v>746</v>
      </c>
      <c r="P99" s="200" t="s">
        <v>744</v>
      </c>
      <c r="Q99" s="159" t="s">
        <v>37</v>
      </c>
      <c r="R99" s="159">
        <v>5</v>
      </c>
      <c r="S99" s="160" t="str">
        <f>IFERROR(INDEX('Matriz de evaluación'!$B$4:$F$8, R99, MATCH(Q99, {"A","B","C","D","E"}, 0)), "")</f>
        <v>24 
BAJO</v>
      </c>
      <c r="T99" s="163"/>
      <c r="U99" s="159"/>
      <c r="V99" s="159"/>
    </row>
    <row r="100" spans="1:22" s="78" customFormat="1" ht="409.6" customHeight="1" x14ac:dyDescent="0.25">
      <c r="A100" s="189"/>
      <c r="B100" s="233"/>
      <c r="C100" s="260" t="s">
        <v>750</v>
      </c>
      <c r="D100" s="260" t="s">
        <v>756</v>
      </c>
      <c r="E100" s="300" t="s">
        <v>638</v>
      </c>
      <c r="F100" s="204" t="s">
        <v>520</v>
      </c>
      <c r="G100" s="192" t="s">
        <v>521</v>
      </c>
      <c r="H100" s="158" t="s">
        <v>522</v>
      </c>
      <c r="I100" s="159" t="s">
        <v>34</v>
      </c>
      <c r="J100" s="160">
        <f>IFERROR(VALUE(SUBSTITUTE(SUBSTITUTE(INDEX('LIST P&amp;R'!G:G,MATCH(F100,'LIST P&amp;R'!C:C,0)),")",""),"(", "")),"")</f>
        <v>2</v>
      </c>
      <c r="K100" s="161" t="str">
        <f>IFERROR(INDEX('Matriz de evaluación'!$B$4:$F$8, J100, MATCH(I100, {"A","B","C","D","E"}, 0)), "")</f>
        <v>8 
ALTO</v>
      </c>
      <c r="L100" s="162"/>
      <c r="M100" s="162"/>
      <c r="N100" s="163"/>
      <c r="O100" s="163" t="s">
        <v>671</v>
      </c>
      <c r="P100" s="163" t="s">
        <v>672</v>
      </c>
      <c r="Q100" s="159" t="s">
        <v>37</v>
      </c>
      <c r="R100" s="159">
        <v>2</v>
      </c>
      <c r="S100" s="160" t="str">
        <f>IFERROR(INDEX('Matriz de evaluación'!$B$4:$F$8, R100, MATCH(Q100, {"A","B","C","D","E"}, 0)), "")</f>
        <v>12 
MEDIO</v>
      </c>
      <c r="T100" s="163"/>
      <c r="U100" s="159"/>
      <c r="V100" s="159"/>
    </row>
    <row r="101" spans="1:22" s="78" customFormat="1" ht="409.6" customHeight="1" x14ac:dyDescent="0.25">
      <c r="A101" s="189"/>
      <c r="B101" s="233"/>
      <c r="C101" s="262"/>
      <c r="D101" s="261"/>
      <c r="E101" s="300"/>
      <c r="F101" s="156" t="s">
        <v>558</v>
      </c>
      <c r="G101" s="164" t="s">
        <v>54</v>
      </c>
      <c r="H101" s="158" t="s">
        <v>55</v>
      </c>
      <c r="I101" s="159" t="s">
        <v>34</v>
      </c>
      <c r="J101" s="160">
        <f>IFERROR(VALUE(SUBSTITUTE(SUBSTITUTE(INDEX('LIST P&amp;R'!G:G,MATCH(F101,'LIST P&amp;R'!C:C,0)),")",""),"(", "")),"")</f>
        <v>3</v>
      </c>
      <c r="K101" s="161" t="str">
        <f>IFERROR(INDEX('Matriz de evaluación'!$B$4:$F$8, J101, MATCH(I101, {"A","B","C","D","E"}, 0)), "")</f>
        <v>13 
MEDIO</v>
      </c>
      <c r="L101" s="162"/>
      <c r="M101" s="162"/>
      <c r="N101" s="163"/>
      <c r="O101" s="163" t="s">
        <v>38</v>
      </c>
      <c r="P101" s="163" t="s">
        <v>653</v>
      </c>
      <c r="Q101" s="159" t="s">
        <v>37</v>
      </c>
      <c r="R101" s="159">
        <v>3</v>
      </c>
      <c r="S101" s="160" t="str">
        <f>IFERROR(INDEX('Matriz de evaluación'!$B$4:$F$8, R101, MATCH(Q101, {"A","B","C","D","E"}, 0)), "")</f>
        <v>17 
BAJO</v>
      </c>
      <c r="T101" s="165"/>
      <c r="U101" s="159"/>
      <c r="V101" s="159"/>
    </row>
    <row r="102" spans="1:22" s="78" customFormat="1" ht="409.6" customHeight="1" x14ac:dyDescent="0.25">
      <c r="A102" s="189"/>
      <c r="B102" s="233"/>
      <c r="C102" s="262"/>
      <c r="D102" s="260" t="s">
        <v>740</v>
      </c>
      <c r="E102" s="300"/>
      <c r="F102" s="193" t="s">
        <v>613</v>
      </c>
      <c r="G102" s="194" t="s">
        <v>79</v>
      </c>
      <c r="H102" s="194" t="s">
        <v>80</v>
      </c>
      <c r="I102" s="207" t="s">
        <v>37</v>
      </c>
      <c r="J102" s="160">
        <f>IFERROR(VALUE(SUBSTITUTE(SUBSTITUTE(INDEX('LIST P&amp;R'!G:G,MATCH(F102,'LIST P&amp;R'!C:C,0)),")",""),"(", "")),"")</f>
        <v>2</v>
      </c>
      <c r="K102" s="161" t="str">
        <f>IFERROR(INDEX('Matriz de evaluación'!$B$4:$F$8, J102, MATCH(I102, {"A","B","C","D","E"}, 0)), "")</f>
        <v>12 
MEDIO</v>
      </c>
      <c r="L102" s="162"/>
      <c r="M102" s="162"/>
      <c r="N102" s="200" t="s">
        <v>747</v>
      </c>
      <c r="O102" s="200" t="s">
        <v>748</v>
      </c>
      <c r="P102" s="200" t="s">
        <v>749</v>
      </c>
      <c r="Q102" s="159" t="s">
        <v>37</v>
      </c>
      <c r="R102" s="159">
        <v>5</v>
      </c>
      <c r="S102" s="160" t="str">
        <f>IFERROR(INDEX('Matriz de evaluación'!$B$4:$F$8, R102, MATCH(Q102, {"A","B","C","D","E"}, 0)), "")</f>
        <v>24 
BAJO</v>
      </c>
      <c r="T102" s="165"/>
      <c r="U102" s="159"/>
      <c r="V102" s="159"/>
    </row>
    <row r="103" spans="1:22" s="78" customFormat="1" ht="409.6" customHeight="1" x14ac:dyDescent="0.25">
      <c r="A103" s="189"/>
      <c r="B103" s="233"/>
      <c r="C103" s="262"/>
      <c r="D103" s="261"/>
      <c r="E103" s="300"/>
      <c r="F103" s="199" t="s">
        <v>497</v>
      </c>
      <c r="G103" s="194" t="s">
        <v>196</v>
      </c>
      <c r="H103" s="194" t="s">
        <v>498</v>
      </c>
      <c r="I103" s="207" t="s">
        <v>34</v>
      </c>
      <c r="J103" s="160">
        <v>4</v>
      </c>
      <c r="K103" s="161" t="str">
        <f>IFERROR(INDEX('Matriz de evaluación'!$B$4:$F$8, J103, MATCH(I103, {"A","B","C","D","E"}, 0)), "")</f>
        <v>18 
BAJO</v>
      </c>
      <c r="L103" s="162"/>
      <c r="M103" s="162"/>
      <c r="N103" s="225" t="s">
        <v>752</v>
      </c>
      <c r="O103" s="163" t="s">
        <v>754</v>
      </c>
      <c r="P103" s="163" t="s">
        <v>755</v>
      </c>
      <c r="Q103" s="159" t="s">
        <v>37</v>
      </c>
      <c r="R103" s="159">
        <v>4</v>
      </c>
      <c r="S103" s="160" t="str">
        <f>IFERROR(INDEX('Matriz de evaluación'!$B$4:$F$8, R103, MATCH(Q103, {"A","B","C","D","E"}, 0)), "")</f>
        <v>21 
BAJO</v>
      </c>
      <c r="T103" s="165"/>
      <c r="U103" s="159"/>
      <c r="V103" s="159"/>
    </row>
    <row r="104" spans="1:22" s="78" customFormat="1" ht="409.6" customHeight="1" x14ac:dyDescent="0.25">
      <c r="A104" s="189"/>
      <c r="B104" s="233"/>
      <c r="C104" s="262"/>
      <c r="D104" s="260" t="s">
        <v>674</v>
      </c>
      <c r="E104" s="300"/>
      <c r="F104" s="204" t="s">
        <v>558</v>
      </c>
      <c r="G104" s="164" t="s">
        <v>54</v>
      </c>
      <c r="H104" s="158" t="s">
        <v>55</v>
      </c>
      <c r="I104" s="159" t="s">
        <v>34</v>
      </c>
      <c r="J104" s="160">
        <f>IFERROR(VALUE(SUBSTITUTE(SUBSTITUTE(INDEX('LIST P&amp;R'!G:G,MATCH(F104,'LIST P&amp;R'!C:C,0)),")",""),"(", "")),"")</f>
        <v>3</v>
      </c>
      <c r="K104" s="161" t="str">
        <f>IFERROR(INDEX('Matriz de evaluación'!$B$4:$F$8, J104, MATCH(I104, {"A","B","C","D","E"}, 0)), "")</f>
        <v>13 
MEDIO</v>
      </c>
      <c r="L104" s="162"/>
      <c r="M104" s="162"/>
      <c r="N104" s="163"/>
      <c r="O104" s="163" t="s">
        <v>38</v>
      </c>
      <c r="P104" s="163" t="s">
        <v>653</v>
      </c>
      <c r="Q104" s="159" t="s">
        <v>37</v>
      </c>
      <c r="R104" s="159">
        <v>3</v>
      </c>
      <c r="S104" s="160" t="str">
        <f>IFERROR(INDEX('Matriz de evaluación'!$B$4:$F$8, R104, MATCH(Q104, {"A","B","C","D","E"}, 0)), "")</f>
        <v>17 
BAJO</v>
      </c>
      <c r="T104" s="165"/>
      <c r="U104" s="159"/>
      <c r="V104" s="159"/>
    </row>
    <row r="105" spans="1:22" s="78" customFormat="1" ht="409.6" customHeight="1" x14ac:dyDescent="0.25">
      <c r="A105" s="189"/>
      <c r="B105" s="233"/>
      <c r="C105" s="262"/>
      <c r="D105" s="262"/>
      <c r="E105" s="300"/>
      <c r="F105" s="193" t="s">
        <v>560</v>
      </c>
      <c r="G105" s="196" t="s">
        <v>63</v>
      </c>
      <c r="H105" s="194" t="s">
        <v>64</v>
      </c>
      <c r="I105" s="207" t="s">
        <v>34</v>
      </c>
      <c r="J105" s="160">
        <v>3</v>
      </c>
      <c r="K105" s="161" t="str">
        <f>IFERROR(INDEX('Matriz de evaluación'!$B$4:$F$8, J105, MATCH(I105, {"A","B","C","D","E"}, 0)), "")</f>
        <v>13 
MEDIO</v>
      </c>
      <c r="L105" s="162"/>
      <c r="M105" s="162" t="s">
        <v>655</v>
      </c>
      <c r="N105" s="163"/>
      <c r="O105" s="163" t="s">
        <v>656</v>
      </c>
      <c r="P105" s="163"/>
      <c r="Q105" s="159" t="s">
        <v>37</v>
      </c>
      <c r="R105" s="159">
        <v>3</v>
      </c>
      <c r="S105" s="160" t="str">
        <f>IFERROR(INDEX('Matriz de evaluación'!$B$4:$F$8, R105, MATCH(Q105, {"A","B","C","D","E"}, 0)), "")</f>
        <v>17 
BAJO</v>
      </c>
      <c r="T105" s="165"/>
      <c r="U105" s="159"/>
      <c r="V105" s="159"/>
    </row>
    <row r="106" spans="1:22" s="78" customFormat="1" ht="409.6" customHeight="1" x14ac:dyDescent="0.25">
      <c r="A106" s="189"/>
      <c r="B106" s="233"/>
      <c r="C106" s="262"/>
      <c r="D106" s="262"/>
      <c r="E106" s="300"/>
      <c r="F106" s="193" t="s">
        <v>578</v>
      </c>
      <c r="G106" s="194" t="s">
        <v>366</v>
      </c>
      <c r="H106" s="226" t="s">
        <v>579</v>
      </c>
      <c r="I106" s="207" t="s">
        <v>34</v>
      </c>
      <c r="J106" s="160">
        <v>3</v>
      </c>
      <c r="K106" s="161" t="str">
        <f>IFERROR(INDEX('Matriz de evaluación'!$B$4:$F$8, J106, MATCH(I106, {"A","B","C","D","E"}, 0)), "")</f>
        <v>13 
MEDIO</v>
      </c>
      <c r="L106" s="162"/>
      <c r="M106" s="162"/>
      <c r="N106" s="163"/>
      <c r="O106" s="163"/>
      <c r="P106" s="163"/>
      <c r="Q106" s="159"/>
      <c r="R106" s="159"/>
      <c r="S106" s="160"/>
      <c r="T106" s="165"/>
      <c r="U106" s="159"/>
      <c r="V106" s="159"/>
    </row>
    <row r="107" spans="1:22" s="78" customFormat="1" ht="409.6" customHeight="1" x14ac:dyDescent="0.25">
      <c r="A107" s="189"/>
      <c r="B107" s="233"/>
      <c r="C107" s="262"/>
      <c r="D107" s="261"/>
      <c r="E107" s="300"/>
      <c r="F107" s="204" t="s">
        <v>605</v>
      </c>
      <c r="G107" s="164" t="s">
        <v>56</v>
      </c>
      <c r="H107" s="158" t="s">
        <v>57</v>
      </c>
      <c r="I107" s="159" t="s">
        <v>34</v>
      </c>
      <c r="J107" s="160">
        <f>IFERROR(VALUE(SUBSTITUTE(SUBSTITUTE(INDEX('LIST P&amp;R'!G:G,MATCH(F107,'LIST P&amp;R'!C:C,0)),")",""),"(", "")),"")</f>
        <v>3</v>
      </c>
      <c r="K107" s="161" t="str">
        <f>IFERROR(INDEX('Matriz de evaluación'!$B$4:$F$8, J107, MATCH(I107, {"A","B","C","D","E"}, 0)), "")</f>
        <v>13 
MEDIO</v>
      </c>
      <c r="L107" s="162"/>
      <c r="M107" s="162"/>
      <c r="N107" s="163" t="s">
        <v>658</v>
      </c>
      <c r="O107" s="163" t="s">
        <v>659</v>
      </c>
      <c r="P107" s="163" t="s">
        <v>660</v>
      </c>
      <c r="Q107" s="159" t="s">
        <v>37</v>
      </c>
      <c r="R107" s="159">
        <v>3</v>
      </c>
      <c r="S107" s="160" t="str">
        <f>IFERROR(INDEX('Matriz de evaluación'!$B$4:$F$8, R107, MATCH(Q107, {"A","B","C","D","E"}, 0)), "")</f>
        <v>17 
BAJO</v>
      </c>
      <c r="T107" s="165"/>
      <c r="U107" s="159"/>
      <c r="V107" s="159"/>
    </row>
    <row r="108" spans="1:22" s="78" customFormat="1" ht="409.6" customHeight="1" x14ac:dyDescent="0.25">
      <c r="A108" s="189"/>
      <c r="B108" s="233"/>
      <c r="C108" s="262"/>
      <c r="D108" s="224" t="s">
        <v>760</v>
      </c>
      <c r="E108" s="300"/>
      <c r="F108" s="203" t="s">
        <v>520</v>
      </c>
      <c r="G108" s="185" t="s">
        <v>521</v>
      </c>
      <c r="H108" s="167" t="s">
        <v>522</v>
      </c>
      <c r="I108" s="159" t="s">
        <v>34</v>
      </c>
      <c r="J108" s="160">
        <f>IFERROR(VALUE(SUBSTITUTE(SUBSTITUTE(INDEX('LIST P&amp;R'!G:G,MATCH(F108,'LIST P&amp;R'!C:C,0)),")",""),"(", "")),"")</f>
        <v>2</v>
      </c>
      <c r="K108" s="161" t="str">
        <f>IFERROR(INDEX('Matriz de evaluación'!$B$4:$F$8, J108, MATCH(I108, {"A","B","C","D","E"}, 0)), "")</f>
        <v>8 
ALTO</v>
      </c>
      <c r="L108" s="162"/>
      <c r="M108" s="162"/>
      <c r="N108" s="163"/>
      <c r="O108" s="163" t="s">
        <v>671</v>
      </c>
      <c r="P108" s="163" t="s">
        <v>672</v>
      </c>
      <c r="Q108" s="159" t="s">
        <v>37</v>
      </c>
      <c r="R108" s="159">
        <v>2</v>
      </c>
      <c r="S108" s="160" t="str">
        <f>IFERROR(INDEX('Matriz de evaluación'!$B$4:$F$8, R108, MATCH(Q108, {"A","B","C","D","E"}, 0)), "")</f>
        <v>12 
MEDIO</v>
      </c>
      <c r="T108" s="165"/>
      <c r="U108" s="159"/>
      <c r="V108" s="159"/>
    </row>
    <row r="109" spans="1:22" s="78" customFormat="1" ht="409.6" customHeight="1" x14ac:dyDescent="0.25">
      <c r="A109" s="189"/>
      <c r="B109" s="233"/>
      <c r="C109" s="257" t="s">
        <v>751</v>
      </c>
      <c r="D109" s="257" t="s">
        <v>759</v>
      </c>
      <c r="E109" s="235" t="s">
        <v>638</v>
      </c>
      <c r="F109" s="193" t="s">
        <v>512</v>
      </c>
      <c r="G109" s="194" t="s">
        <v>513</v>
      </c>
      <c r="H109" s="194" t="s">
        <v>514</v>
      </c>
      <c r="I109" s="207" t="s">
        <v>34</v>
      </c>
      <c r="J109" s="160">
        <v>2</v>
      </c>
      <c r="K109" s="161" t="str">
        <f>IFERROR(INDEX('Matriz de evaluación'!$B$4:$F$8, J109, MATCH(I109, {"A","B","C","D","E"}, 0)), "")</f>
        <v>8 
ALTO</v>
      </c>
      <c r="L109" s="162"/>
      <c r="M109" s="162"/>
      <c r="N109" s="163" t="s">
        <v>757</v>
      </c>
      <c r="O109" s="200" t="s">
        <v>768</v>
      </c>
      <c r="P109" s="200" t="s">
        <v>758</v>
      </c>
      <c r="Q109" s="218" t="s">
        <v>34</v>
      </c>
      <c r="R109" s="159">
        <v>3</v>
      </c>
      <c r="S109" s="160" t="str">
        <f>IFERROR(INDEX('Matriz de evaluación'!$B$4:$F$8, R109, MATCH(Q109, {"A","B","C","D","E"}, 0)), "")</f>
        <v>13 
MEDIO</v>
      </c>
      <c r="T109" s="165"/>
      <c r="U109" s="159"/>
      <c r="V109" s="159"/>
    </row>
    <row r="110" spans="1:22" s="78" customFormat="1" ht="409.5" customHeight="1" x14ac:dyDescent="0.25">
      <c r="A110" s="189"/>
      <c r="B110" s="233"/>
      <c r="C110" s="258"/>
      <c r="D110" s="258"/>
      <c r="E110" s="235"/>
      <c r="F110" s="227" t="s">
        <v>539</v>
      </c>
      <c r="G110" s="229" t="s">
        <v>247</v>
      </c>
      <c r="H110" s="228" t="s">
        <v>71</v>
      </c>
      <c r="I110" s="207" t="s">
        <v>34</v>
      </c>
      <c r="J110" s="160">
        <v>2</v>
      </c>
      <c r="K110" s="161" t="str">
        <f>IFERROR(INDEX('Matriz de evaluación'!$B$4:$F$8, J110, MATCH(I110, {"A","B","C","D","E"}, 0)), "")</f>
        <v>8 
ALTO</v>
      </c>
      <c r="L110" s="162"/>
      <c r="M110" s="162"/>
      <c r="N110" s="163" t="s">
        <v>764</v>
      </c>
      <c r="O110" s="200" t="s">
        <v>765</v>
      </c>
      <c r="P110" s="200" t="s">
        <v>766</v>
      </c>
      <c r="Q110" s="218" t="s">
        <v>34</v>
      </c>
      <c r="R110" s="159">
        <v>3</v>
      </c>
      <c r="S110" s="160" t="str">
        <f>IFERROR(INDEX('Matriz de evaluación'!$B$4:$F$8, R110, MATCH(Q110, {"A","B","C","D","E"}, 0)), "")</f>
        <v>13 
MEDIO</v>
      </c>
      <c r="T110" s="165"/>
      <c r="U110" s="159"/>
      <c r="V110" s="159"/>
    </row>
    <row r="111" spans="1:22" s="78" customFormat="1" ht="409.6" customHeight="1" x14ac:dyDescent="0.25">
      <c r="A111" s="189"/>
      <c r="B111" s="233"/>
      <c r="C111" s="258"/>
      <c r="D111" s="258"/>
      <c r="E111" s="235"/>
      <c r="F111" s="156" t="s">
        <v>491</v>
      </c>
      <c r="G111" s="162" t="s">
        <v>48</v>
      </c>
      <c r="H111" s="206" t="s">
        <v>49</v>
      </c>
      <c r="I111" s="159" t="s">
        <v>34</v>
      </c>
      <c r="J111" s="160">
        <f>IFERROR(VALUE(SUBSTITUTE(SUBSTITUTE(INDEX('LIST P&amp;R'!G:G,MATCH(F111,'LIST P&amp;R'!C:C,0)),")",""),"(", "")),"")</f>
        <v>4</v>
      </c>
      <c r="K111" s="161" t="str">
        <f>IFERROR(INDEX('Matriz de evaluación'!$B$4:$F$8, J111, MATCH(I111, {"A","B","C","D","E"}, 0)), "")</f>
        <v>18 
BAJO</v>
      </c>
      <c r="L111" s="162"/>
      <c r="M111" s="162"/>
      <c r="N111" s="163" t="s">
        <v>761</v>
      </c>
      <c r="O111" s="163" t="s">
        <v>762</v>
      </c>
      <c r="P111" s="163" t="s">
        <v>763</v>
      </c>
      <c r="Q111" s="159" t="s">
        <v>37</v>
      </c>
      <c r="R111" s="159">
        <v>4</v>
      </c>
      <c r="S111" s="160" t="str">
        <f>IFERROR(INDEX('Matriz de evaluación'!$B$4:$F$8, R111, MATCH(Q111, {"A","B","C","D","E"}, 0)), "")</f>
        <v>21 
BAJO</v>
      </c>
      <c r="T111" s="165"/>
      <c r="U111" s="159"/>
      <c r="V111" s="159"/>
    </row>
    <row r="112" spans="1:22" s="78" customFormat="1" ht="409.6" customHeight="1" x14ac:dyDescent="0.25">
      <c r="A112" s="189"/>
      <c r="B112" s="233"/>
      <c r="C112" s="259"/>
      <c r="D112" s="205" t="s">
        <v>767</v>
      </c>
      <c r="E112" s="236"/>
      <c r="F112" s="156" t="s">
        <v>494</v>
      </c>
      <c r="G112" s="194" t="s">
        <v>61</v>
      </c>
      <c r="H112" s="230" t="s">
        <v>547</v>
      </c>
      <c r="I112" s="207" t="s">
        <v>34</v>
      </c>
      <c r="J112" s="160">
        <v>3</v>
      </c>
      <c r="K112" s="161" t="str">
        <f>IFERROR(INDEX('Matriz de evaluación'!$B$4:$F$8, J112, MATCH(I112, {"A","B","C","D","E"}, 0)), "")</f>
        <v>13 
MEDIO</v>
      </c>
      <c r="L112" s="162"/>
      <c r="M112" s="162"/>
      <c r="N112" s="163"/>
      <c r="O112" s="163" t="s">
        <v>769</v>
      </c>
      <c r="P112" s="163"/>
      <c r="Q112" s="159"/>
      <c r="R112" s="159"/>
      <c r="S112" s="160"/>
      <c r="T112" s="165"/>
      <c r="U112" s="159"/>
      <c r="V112" s="159"/>
    </row>
    <row r="113" spans="1:22" s="78" customFormat="1" ht="354" x14ac:dyDescent="0.25">
      <c r="A113" s="189"/>
      <c r="B113" s="233"/>
      <c r="C113" s="243" t="s">
        <v>753</v>
      </c>
      <c r="D113" s="243" t="s">
        <v>676</v>
      </c>
      <c r="E113" s="246" t="s">
        <v>679</v>
      </c>
      <c r="F113" s="156" t="s">
        <v>549</v>
      </c>
      <c r="G113" s="192" t="s">
        <v>550</v>
      </c>
      <c r="H113" s="158" t="s">
        <v>32</v>
      </c>
      <c r="I113" s="159" t="s">
        <v>33</v>
      </c>
      <c r="J113" s="160">
        <f>IFERROR(VALUE(SUBSTITUTE(SUBSTITUTE(INDEX('LIST P&amp;R'!G:G,MATCH(F113,'LIST P&amp;R'!C:C,0)),")",""),"(", "")),"")</f>
        <v>4</v>
      </c>
      <c r="K113" s="161" t="str">
        <f>IFERROR(INDEX('Matriz de evaluación'!$B$4:$F$8, J113, MATCH(I113, {"A","B","C","D","E"}, 0)), "")</f>
        <v>14 
MEDIO</v>
      </c>
      <c r="L113" s="162"/>
      <c r="M113" s="162"/>
      <c r="N113" s="163"/>
      <c r="O113" s="163" t="s">
        <v>677</v>
      </c>
      <c r="P113" s="163" t="s">
        <v>678</v>
      </c>
      <c r="Q113" s="159" t="s">
        <v>34</v>
      </c>
      <c r="R113" s="159">
        <v>4</v>
      </c>
      <c r="S113" s="160" t="str">
        <f>IFERROR(INDEX('Matriz de evaluación'!$B$4:$F$8, R113, MATCH(Q113, {"A","B","C","D","E"}, 0)), "")</f>
        <v>18 
BAJO</v>
      </c>
      <c r="T113" s="163"/>
      <c r="U113" s="159"/>
      <c r="V113" s="159"/>
    </row>
    <row r="114" spans="1:22" s="78" customFormat="1" ht="219.75" customHeight="1" x14ac:dyDescent="0.25">
      <c r="A114" s="189"/>
      <c r="B114" s="233"/>
      <c r="C114" s="244"/>
      <c r="D114" s="244"/>
      <c r="E114" s="235"/>
      <c r="F114" s="199" t="s">
        <v>477</v>
      </c>
      <c r="G114" s="196" t="s">
        <v>42</v>
      </c>
      <c r="H114" s="194" t="s">
        <v>43</v>
      </c>
      <c r="I114" s="159" t="s">
        <v>37</v>
      </c>
      <c r="J114" s="160">
        <v>3</v>
      </c>
      <c r="K114" s="161" t="str">
        <f>IFERROR(INDEX('Matriz de evaluación'!$B$4:$F$8, J114, MATCH(I114, {"A","B","C","D","E"}, 0)), "")</f>
        <v>17 
BAJO</v>
      </c>
      <c r="L114" s="162"/>
      <c r="M114" s="162"/>
      <c r="N114" s="163"/>
      <c r="O114" s="157" t="s">
        <v>724</v>
      </c>
      <c r="P114" s="163"/>
      <c r="Q114" s="159" t="s">
        <v>37</v>
      </c>
      <c r="R114" s="159">
        <v>4</v>
      </c>
      <c r="S114" s="160" t="str">
        <f>IFERROR(INDEX('Matriz de evaluación'!$B$4:$F$8, R114, MATCH(Q114, {"A","B","C","D","E"}, 0)), "")</f>
        <v>21 
BAJO</v>
      </c>
      <c r="T114" s="163"/>
      <c r="U114" s="159"/>
      <c r="V114" s="159"/>
    </row>
    <row r="115" spans="1:22" s="78" customFormat="1" ht="409.6" customHeight="1" x14ac:dyDescent="0.25">
      <c r="A115" s="189"/>
      <c r="B115" s="233"/>
      <c r="C115" s="244"/>
      <c r="D115" s="244"/>
      <c r="E115" s="235"/>
      <c r="F115" s="156" t="s">
        <v>558</v>
      </c>
      <c r="G115" s="164" t="s">
        <v>54</v>
      </c>
      <c r="H115" s="158" t="s">
        <v>55</v>
      </c>
      <c r="I115" s="159" t="s">
        <v>34</v>
      </c>
      <c r="J115" s="160">
        <f>IFERROR(VALUE(SUBSTITUTE(SUBSTITUTE(INDEX('LIST P&amp;R'!G:G,MATCH(F115,'LIST P&amp;R'!C:C,0)),")",""),"(", "")),"")</f>
        <v>3</v>
      </c>
      <c r="K115" s="161" t="str">
        <f>IFERROR(INDEX('Matriz de evaluación'!$B$4:$F$8, J115, MATCH(I115, {"A","B","C","D","E"}, 0)), "")</f>
        <v>13 
MEDIO</v>
      </c>
      <c r="L115" s="162"/>
      <c r="M115" s="162"/>
      <c r="N115" s="163"/>
      <c r="O115" s="163" t="s">
        <v>38</v>
      </c>
      <c r="P115" s="163" t="s">
        <v>653</v>
      </c>
      <c r="Q115" s="159" t="s">
        <v>37</v>
      </c>
      <c r="R115" s="159">
        <v>3</v>
      </c>
      <c r="S115" s="160" t="str">
        <f>IFERROR(INDEX('Matriz de evaluación'!$B$4:$F$8, R115, MATCH(Q115, {"A","B","C","D","E"}, 0)), "")</f>
        <v>17 
BAJO</v>
      </c>
      <c r="T115" s="165"/>
      <c r="U115" s="159"/>
      <c r="V115" s="159"/>
    </row>
    <row r="116" spans="1:22" s="78" customFormat="1" ht="223.5" customHeight="1" x14ac:dyDescent="0.25">
      <c r="A116" s="189"/>
      <c r="B116" s="233"/>
      <c r="C116" s="244"/>
      <c r="D116" s="244"/>
      <c r="E116" s="235"/>
      <c r="F116" s="156" t="s">
        <v>565</v>
      </c>
      <c r="G116" s="164" t="s">
        <v>566</v>
      </c>
      <c r="H116" s="158" t="s">
        <v>272</v>
      </c>
      <c r="I116" s="159" t="s">
        <v>34</v>
      </c>
      <c r="J116" s="160">
        <f>IFERROR(VALUE(SUBSTITUTE(SUBSTITUTE(INDEX('LIST P&amp;R'!G:G,MATCH(F116,'LIST P&amp;R'!C:C,0)),")",""),"(", "")),"")</f>
        <v>2</v>
      </c>
      <c r="K116" s="161" t="str">
        <f>IFERROR(INDEX('Matriz de evaluación'!$B$4:$F$8, J116, MATCH(I116, {"A","B","C","D","E"}, 0)), "")</f>
        <v>8 
ALTO</v>
      </c>
      <c r="L116" s="162"/>
      <c r="M116" s="162"/>
      <c r="N116" s="163"/>
      <c r="O116" s="163" t="s">
        <v>680</v>
      </c>
      <c r="P116" s="163"/>
      <c r="Q116" s="159" t="s">
        <v>37</v>
      </c>
      <c r="R116" s="159">
        <v>2</v>
      </c>
      <c r="S116" s="160" t="str">
        <f>IFERROR(INDEX('Matriz de evaluación'!$B$4:$F$8, R116, MATCH(Q116, {"A","B","C","D","E"}, 0)), "")</f>
        <v>12 
MEDIO</v>
      </c>
      <c r="T116" s="163"/>
      <c r="U116" s="159"/>
      <c r="V116" s="159"/>
    </row>
    <row r="117" spans="1:22" s="78" customFormat="1" ht="246" customHeight="1" x14ac:dyDescent="0.25">
      <c r="A117" s="189"/>
      <c r="B117" s="233"/>
      <c r="C117" s="245"/>
      <c r="D117" s="245"/>
      <c r="E117" s="236"/>
      <c r="F117" s="156" t="s">
        <v>584</v>
      </c>
      <c r="G117" s="164" t="s">
        <v>585</v>
      </c>
      <c r="H117" s="158" t="s">
        <v>329</v>
      </c>
      <c r="I117" s="159" t="s">
        <v>34</v>
      </c>
      <c r="J117" s="160">
        <f>IFERROR(VALUE(SUBSTITUTE(SUBSTITUTE(INDEX('LIST P&amp;R'!G:G,MATCH(F117,'LIST P&amp;R'!C:C,0)),")",""),"(", "")),"")</f>
        <v>4</v>
      </c>
      <c r="K117" s="161" t="str">
        <f>IFERROR(INDEX('Matriz de evaluación'!$B$4:$F$8, J117, MATCH(I117, {"A","B","C","D","E"}, 0)), "")</f>
        <v>18 
BAJO</v>
      </c>
      <c r="L117" s="162"/>
      <c r="M117" s="162"/>
      <c r="N117" s="163"/>
      <c r="O117" s="163" t="s">
        <v>681</v>
      </c>
      <c r="P117" s="163"/>
      <c r="Q117" s="159" t="s">
        <v>37</v>
      </c>
      <c r="R117" s="159">
        <v>4</v>
      </c>
      <c r="S117" s="160" t="str">
        <f>IFERROR(INDEX('Matriz de evaluación'!$B$4:$F$8, R117, MATCH(Q117, {"A","B","C","D","E"}, 0)), "")</f>
        <v>21 
BAJO</v>
      </c>
      <c r="T117" s="163"/>
      <c r="U117" s="159"/>
      <c r="V117" s="159"/>
    </row>
    <row r="118" spans="1:22" s="78" customFormat="1" ht="409.6" customHeight="1" x14ac:dyDescent="0.25">
      <c r="A118" s="189"/>
      <c r="B118" s="233"/>
      <c r="C118" s="257" t="s">
        <v>682</v>
      </c>
      <c r="D118" s="257" t="s">
        <v>683</v>
      </c>
      <c r="E118" s="156"/>
      <c r="F118" s="156" t="s">
        <v>584</v>
      </c>
      <c r="G118" s="164" t="s">
        <v>585</v>
      </c>
      <c r="H118" s="158" t="s">
        <v>329</v>
      </c>
      <c r="I118" s="159" t="s">
        <v>34</v>
      </c>
      <c r="J118" s="160">
        <f>IFERROR(VALUE(SUBSTITUTE(SUBSTITUTE(INDEX('LIST P&amp;R'!G:G,MATCH(F118,'LIST P&amp;R'!C:C,0)),")",""),"(", "")),"")</f>
        <v>4</v>
      </c>
      <c r="K118" s="161" t="str">
        <f>IFERROR(INDEX('Matriz de evaluación'!$B$4:$F$8, J118, MATCH(I118, {"A","B","C","D","E"}, 0)), "")</f>
        <v>18 
BAJO</v>
      </c>
      <c r="L118" s="162"/>
      <c r="M118" s="162"/>
      <c r="N118" s="163"/>
      <c r="O118" s="163" t="s">
        <v>681</v>
      </c>
      <c r="P118" s="163"/>
      <c r="Q118" s="159" t="s">
        <v>37</v>
      </c>
      <c r="R118" s="159">
        <v>4</v>
      </c>
      <c r="S118" s="160" t="str">
        <f>IFERROR(INDEX('Matriz de evaluación'!$B$4:$F$8, R118, MATCH(Q118, {"A","B","C","D","E"}, 0)), "")</f>
        <v>21 
BAJO</v>
      </c>
      <c r="T118" s="163"/>
      <c r="U118" s="159"/>
      <c r="V118" s="159"/>
    </row>
    <row r="119" spans="1:22" s="78" customFormat="1" ht="409.6" customHeight="1" x14ac:dyDescent="0.25">
      <c r="A119" s="189"/>
      <c r="B119" s="233"/>
      <c r="C119" s="258"/>
      <c r="D119" s="258"/>
      <c r="E119" s="156"/>
      <c r="F119" s="156" t="s">
        <v>558</v>
      </c>
      <c r="G119" s="164" t="s">
        <v>54</v>
      </c>
      <c r="H119" s="158" t="s">
        <v>55</v>
      </c>
      <c r="I119" s="159" t="s">
        <v>34</v>
      </c>
      <c r="J119" s="160">
        <f>IFERROR(VALUE(SUBSTITUTE(SUBSTITUTE(INDEX('LIST P&amp;R'!G:G,MATCH(F119,'LIST P&amp;R'!C:C,0)),")",""),"(", "")),"")</f>
        <v>3</v>
      </c>
      <c r="K119" s="161" t="str">
        <f>IFERROR(INDEX('Matriz de evaluación'!$B$4:$F$8, J119, MATCH(I119, {"A","B","C","D","E"}, 0)), "")</f>
        <v>13 
MEDIO</v>
      </c>
      <c r="L119" s="162"/>
      <c r="M119" s="162"/>
      <c r="N119" s="163"/>
      <c r="O119" s="163" t="s">
        <v>38</v>
      </c>
      <c r="P119" s="163" t="s">
        <v>653</v>
      </c>
      <c r="Q119" s="159" t="s">
        <v>37</v>
      </c>
      <c r="R119" s="159">
        <v>3</v>
      </c>
      <c r="S119" s="160" t="str">
        <f>IFERROR(INDEX('Matriz de evaluación'!$B$4:$F$8, R119, MATCH(Q119, {"A","B","C","D","E"}, 0)), "")</f>
        <v>17 
BAJO</v>
      </c>
      <c r="T119" s="165"/>
      <c r="U119" s="159"/>
      <c r="V119" s="159"/>
    </row>
    <row r="120" spans="1:22" s="78" customFormat="1" ht="409.6" customHeight="1" x14ac:dyDescent="0.55000000000000004">
      <c r="A120" s="189"/>
      <c r="B120" s="233"/>
      <c r="C120" s="258"/>
      <c r="D120" s="258"/>
      <c r="E120" s="156"/>
      <c r="F120" s="156" t="s">
        <v>491</v>
      </c>
      <c r="G120" s="164" t="s">
        <v>48</v>
      </c>
      <c r="H120" s="158" t="s">
        <v>49</v>
      </c>
      <c r="I120" s="159" t="s">
        <v>34</v>
      </c>
      <c r="J120" s="160">
        <f>IFERROR(VALUE(SUBSTITUTE(SUBSTITUTE(INDEX('LIST P&amp;R'!G:G,MATCH(F120,'LIST P&amp;R'!C:C,0)),")",""),"(", "")),"")</f>
        <v>4</v>
      </c>
      <c r="K120" s="161" t="str">
        <f>IFERROR(INDEX('Matriz de evaluación'!$B$4:$F$8, J120, MATCH(I120, {"A","B","C","D","E"}, 0)), "")</f>
        <v>18 
BAJO</v>
      </c>
      <c r="L120" s="162"/>
      <c r="M120" s="162"/>
      <c r="N120" s="163" t="s">
        <v>645</v>
      </c>
      <c r="O120" s="163" t="s">
        <v>651</v>
      </c>
      <c r="P120" s="163" t="s">
        <v>652</v>
      </c>
      <c r="Q120" s="159" t="s">
        <v>37</v>
      </c>
      <c r="R120" s="159">
        <v>4</v>
      </c>
      <c r="S120" s="160" t="str">
        <f>IFERROR(INDEX('Matriz de evaluación'!$B$4:$F$8, R120, MATCH(Q120, {"A","B","C","D","E"}, 0)), "")</f>
        <v>21 
BAJO</v>
      </c>
      <c r="T120" s="174"/>
      <c r="U120" s="159"/>
      <c r="V120" s="159"/>
    </row>
    <row r="121" spans="1:22" s="74" customFormat="1" ht="186" customHeight="1" x14ac:dyDescent="0.55000000000000004">
      <c r="A121" s="190"/>
      <c r="B121" s="233"/>
      <c r="C121" s="258"/>
      <c r="D121" s="258"/>
      <c r="E121" s="175"/>
      <c r="F121" s="156" t="s">
        <v>565</v>
      </c>
      <c r="G121" s="164" t="s">
        <v>566</v>
      </c>
      <c r="H121" s="158" t="s">
        <v>272</v>
      </c>
      <c r="I121" s="159" t="s">
        <v>34</v>
      </c>
      <c r="J121" s="160">
        <f>IFERROR(VALUE(SUBSTITUTE(SUBSTITUTE(INDEX('LIST P&amp;R'!G:G,MATCH(F121,'LIST P&amp;R'!C:C,0)),")",""),"(", "")),"")</f>
        <v>2</v>
      </c>
      <c r="K121" s="161" t="str">
        <f>IFERROR(INDEX('Matriz de evaluación'!$B$4:$F$8, J121, MATCH(I121, {"A","B","C","D","E"}, 0)), "")</f>
        <v>8 
ALTO</v>
      </c>
      <c r="L121" s="162"/>
      <c r="M121" s="162"/>
      <c r="N121" s="163"/>
      <c r="O121" s="163" t="s">
        <v>680</v>
      </c>
      <c r="P121" s="163"/>
      <c r="Q121" s="159" t="s">
        <v>37</v>
      </c>
      <c r="R121" s="159">
        <v>2</v>
      </c>
      <c r="S121" s="160" t="str">
        <f>IFERROR(INDEX('Matriz de evaluación'!$B$4:$F$8, R121, MATCH(Q121, {"A","B","C","D","E"}, 0)), "")</f>
        <v>12 
MEDIO</v>
      </c>
      <c r="T121" s="163"/>
      <c r="U121" s="159"/>
      <c r="V121" s="159"/>
    </row>
    <row r="122" spans="1:22" s="74" customFormat="1" ht="300" customHeight="1" x14ac:dyDescent="0.9">
      <c r="A122" s="190"/>
      <c r="B122" s="233"/>
      <c r="C122" s="258"/>
      <c r="D122" s="258"/>
      <c r="E122" s="175"/>
      <c r="F122" s="156" t="s">
        <v>605</v>
      </c>
      <c r="G122" s="164" t="s">
        <v>56</v>
      </c>
      <c r="H122" s="158" t="s">
        <v>57</v>
      </c>
      <c r="I122" s="159" t="s">
        <v>34</v>
      </c>
      <c r="J122" s="160">
        <f>IFERROR(VALUE(SUBSTITUTE(SUBSTITUTE(INDEX('LIST P&amp;R'!G:G,MATCH(F122,'LIST P&amp;R'!C:C,0)),")",""),"(", "")),"")</f>
        <v>3</v>
      </c>
      <c r="K122" s="161" t="str">
        <f>IFERROR(INDEX('Matriz de evaluación'!$B$4:$F$8, J122, MATCH(I122, {"A","B","C","D","E"}, 0)), "")</f>
        <v>13 
MEDIO</v>
      </c>
      <c r="L122" s="162"/>
      <c r="M122" s="162"/>
      <c r="N122" s="163" t="s">
        <v>658</v>
      </c>
      <c r="O122" s="163" t="s">
        <v>659</v>
      </c>
      <c r="P122" s="163" t="s">
        <v>660</v>
      </c>
      <c r="Q122" s="159" t="s">
        <v>37</v>
      </c>
      <c r="R122" s="159">
        <v>3</v>
      </c>
      <c r="S122" s="160" t="str">
        <f>IFERROR(INDEX('Matriz de evaluación'!$B$4:$F$8, R122, MATCH(Q122, {"A","B","C","D","E"}, 0)), "")</f>
        <v>17 
BAJO</v>
      </c>
      <c r="T122" s="165"/>
      <c r="U122" s="174"/>
      <c r="V122" s="176"/>
    </row>
    <row r="123" spans="1:22" s="74" customFormat="1" ht="173.25" customHeight="1" x14ac:dyDescent="0.55000000000000004">
      <c r="A123" s="190"/>
      <c r="B123" s="233"/>
      <c r="C123" s="259"/>
      <c r="D123" s="259"/>
      <c r="E123" s="175"/>
      <c r="F123" s="156" t="s">
        <v>563</v>
      </c>
      <c r="G123" s="164" t="s">
        <v>35</v>
      </c>
      <c r="H123" s="158" t="s">
        <v>36</v>
      </c>
      <c r="I123" s="159" t="s">
        <v>34</v>
      </c>
      <c r="J123" s="160">
        <f>IFERROR(VALUE(SUBSTITUTE(SUBSTITUTE(INDEX('LIST P&amp;R'!G:G,MATCH(F123,'LIST P&amp;R'!C:C,0)),")",""),"(", "")),"")</f>
        <v>3</v>
      </c>
      <c r="K123" s="161" t="str">
        <f>IFERROR(INDEX('Matriz de evaluación'!$B$4:$F$8, J123, MATCH(I123, {"A","B","C","D","E"}, 0)), "")</f>
        <v>13 
MEDIO</v>
      </c>
      <c r="L123" s="162"/>
      <c r="M123" s="162"/>
      <c r="N123" s="163"/>
      <c r="O123" s="163" t="s">
        <v>38</v>
      </c>
      <c r="P123" s="163" t="s">
        <v>653</v>
      </c>
      <c r="Q123" s="159" t="s">
        <v>37</v>
      </c>
      <c r="R123" s="159">
        <v>3</v>
      </c>
      <c r="S123" s="160" t="str">
        <f>IFERROR(INDEX('Matriz de evaluación'!$B$4:$F$8, R123, MATCH(Q123, {"A","B","C","D","E"}, 0)), "")</f>
        <v>17 
BAJO</v>
      </c>
      <c r="T123" s="165"/>
      <c r="U123" s="159"/>
      <c r="V123" s="159"/>
    </row>
    <row r="124" spans="1:22" s="74" customFormat="1" ht="238.5" customHeight="1" x14ac:dyDescent="0.55000000000000004">
      <c r="A124" s="190"/>
      <c r="B124" s="234"/>
      <c r="C124" s="182" t="s">
        <v>685</v>
      </c>
      <c r="D124" s="182" t="s">
        <v>686</v>
      </c>
      <c r="E124" s="175" t="s">
        <v>687</v>
      </c>
      <c r="F124" s="156" t="s">
        <v>622</v>
      </c>
      <c r="G124" s="164" t="s">
        <v>77</v>
      </c>
      <c r="H124" s="158" t="s">
        <v>78</v>
      </c>
      <c r="I124" s="159" t="s">
        <v>34</v>
      </c>
      <c r="J124" s="160">
        <f>IFERROR(VALUE(SUBSTITUTE(SUBSTITUTE(INDEX('LIST P&amp;R'!G:G,MATCH(F124,'LIST P&amp;R'!C:C,0)),")",""),"(", "")),"")</f>
        <v>2</v>
      </c>
      <c r="K124" s="161" t="str">
        <f>IFERROR(INDEX('Matriz de evaluación'!$B$4:$F$8, J124, MATCH(I124, {"A","B","C","D","E"}, 0)), "")</f>
        <v>8 
ALTO</v>
      </c>
      <c r="L124" s="162"/>
      <c r="M124" s="162"/>
      <c r="N124" s="163"/>
      <c r="O124" s="163" t="s">
        <v>688</v>
      </c>
      <c r="P124" s="163"/>
      <c r="Q124" s="159" t="s">
        <v>37</v>
      </c>
      <c r="R124" s="159">
        <v>2</v>
      </c>
      <c r="S124" s="160" t="str">
        <f>IFERROR(INDEX('Matriz de evaluación'!$B$4:$F$8, R124, MATCH(Q124, {"A","B","C","D","E"}, 0)), "")</f>
        <v>12 
MEDIO</v>
      </c>
      <c r="T124" s="165"/>
      <c r="U124" s="159"/>
      <c r="V124" s="159"/>
    </row>
    <row r="125" spans="1:22" x14ac:dyDescent="0.45">
      <c r="T125"/>
      <c r="U125"/>
    </row>
    <row r="126" spans="1:22" ht="63" customHeight="1" x14ac:dyDescent="0.45">
      <c r="B126" s="125" t="s">
        <v>627</v>
      </c>
      <c r="C126" s="251" t="s">
        <v>628</v>
      </c>
      <c r="D126" s="253"/>
      <c r="E126" s="252"/>
      <c r="F126" s="251" t="s">
        <v>629</v>
      </c>
      <c r="G126" s="252"/>
      <c r="H126" s="131" t="s">
        <v>630</v>
      </c>
    </row>
    <row r="127" spans="1:22" ht="159" customHeight="1" x14ac:dyDescent="0.45">
      <c r="B127" s="124"/>
      <c r="C127" s="263" t="s">
        <v>704</v>
      </c>
      <c r="D127" s="264"/>
      <c r="E127" s="265"/>
      <c r="F127" s="266" t="s">
        <v>770</v>
      </c>
      <c r="G127" s="266"/>
      <c r="H127" s="231"/>
    </row>
    <row r="128" spans="1:22" ht="90" customHeight="1" x14ac:dyDescent="0.45">
      <c r="B128" s="124"/>
      <c r="C128" s="263" t="s">
        <v>701</v>
      </c>
      <c r="D128" s="264"/>
      <c r="E128" s="265"/>
      <c r="F128" s="266" t="s">
        <v>771</v>
      </c>
      <c r="G128" s="266"/>
      <c r="H128" s="231"/>
    </row>
    <row r="129" spans="2:19" ht="96" customHeight="1" x14ac:dyDescent="0.45">
      <c r="B129" s="124"/>
      <c r="C129" s="263" t="s">
        <v>773</v>
      </c>
      <c r="D129" s="264"/>
      <c r="E129" s="265"/>
      <c r="F129" s="266" t="s">
        <v>772</v>
      </c>
      <c r="G129" s="266"/>
      <c r="H129" s="232"/>
      <c r="N129" s="60"/>
      <c r="O129" s="60"/>
      <c r="P129" s="61"/>
      <c r="Q129" s="57"/>
      <c r="R129" s="57"/>
      <c r="S129" s="57"/>
    </row>
    <row r="130" spans="2:19" ht="136.5" customHeight="1" x14ac:dyDescent="0.45">
      <c r="B130" s="124"/>
      <c r="C130" s="263" t="s">
        <v>702</v>
      </c>
      <c r="D130" s="264"/>
      <c r="E130" s="265"/>
      <c r="F130" s="266" t="s">
        <v>703</v>
      </c>
      <c r="G130" s="266"/>
      <c r="H130" s="231"/>
      <c r="N130" s="60"/>
      <c r="O130" s="60"/>
      <c r="P130" s="61"/>
      <c r="Q130" s="57"/>
      <c r="R130" s="57"/>
      <c r="S130" s="57"/>
    </row>
    <row r="131" spans="2:19" x14ac:dyDescent="0.45">
      <c r="N131" s="60"/>
      <c r="O131" s="60"/>
      <c r="P131" s="61"/>
      <c r="Q131" s="57"/>
      <c r="R131" s="57"/>
      <c r="S131" s="57"/>
    </row>
  </sheetData>
  <sheetProtection formatCells="0" formatColumns="0" formatRows="0" insertRows="0" insertHyperlinks="0" deleteRows="0" sort="0" autoFilter="0" pivotTables="0"/>
  <autoFilter ref="A19:V51" xr:uid="{00000000-0009-0000-0000-000000000000}"/>
  <dataConsolidate link="1"/>
  <mergeCells count="85">
    <mergeCell ref="D94:D99"/>
    <mergeCell ref="D102:D103"/>
    <mergeCell ref="C100:C108"/>
    <mergeCell ref="E100:E108"/>
    <mergeCell ref="C109:C112"/>
    <mergeCell ref="D109:D111"/>
    <mergeCell ref="E109:E112"/>
    <mergeCell ref="B7:C7"/>
    <mergeCell ref="B2:B5"/>
    <mergeCell ref="P11:U11"/>
    <mergeCell ref="P12:U12"/>
    <mergeCell ref="P13:U13"/>
    <mergeCell ref="J11:K11"/>
    <mergeCell ref="C2:T2"/>
    <mergeCell ref="C3:T5"/>
    <mergeCell ref="U2:V2"/>
    <mergeCell ref="U3:V3"/>
    <mergeCell ref="U4:V4"/>
    <mergeCell ref="U5:V5"/>
    <mergeCell ref="J15:K15"/>
    <mergeCell ref="J16:K16"/>
    <mergeCell ref="I18:K18"/>
    <mergeCell ref="H15:H16"/>
    <mergeCell ref="J13:K13"/>
    <mergeCell ref="H12:H13"/>
    <mergeCell ref="J12:K12"/>
    <mergeCell ref="J14:K14"/>
    <mergeCell ref="L18:P18"/>
    <mergeCell ref="Q18:S18"/>
    <mergeCell ref="P14:U14"/>
    <mergeCell ref="P15:U15"/>
    <mergeCell ref="P16:U16"/>
    <mergeCell ref="E26:E28"/>
    <mergeCell ref="E39:E43"/>
    <mergeCell ref="E29:E32"/>
    <mergeCell ref="E33:E38"/>
    <mergeCell ref="E44:E51"/>
    <mergeCell ref="C130:E130"/>
    <mergeCell ref="F127:G127"/>
    <mergeCell ref="F130:G130"/>
    <mergeCell ref="C128:E128"/>
    <mergeCell ref="F128:G128"/>
    <mergeCell ref="C129:E129"/>
    <mergeCell ref="F129:G129"/>
    <mergeCell ref="C127:E127"/>
    <mergeCell ref="D71:D75"/>
    <mergeCell ref="F126:G126"/>
    <mergeCell ref="C126:E126"/>
    <mergeCell ref="D76:D79"/>
    <mergeCell ref="D80:D83"/>
    <mergeCell ref="D84:D85"/>
    <mergeCell ref="E76:E85"/>
    <mergeCell ref="C76:C85"/>
    <mergeCell ref="D86:D89"/>
    <mergeCell ref="D90:D93"/>
    <mergeCell ref="C86:C93"/>
    <mergeCell ref="E86:E93"/>
    <mergeCell ref="D100:D101"/>
    <mergeCell ref="D104:D107"/>
    <mergeCell ref="C118:C123"/>
    <mergeCell ref="D118:D123"/>
    <mergeCell ref="E52:E54"/>
    <mergeCell ref="C39:C54"/>
    <mergeCell ref="E55:E60"/>
    <mergeCell ref="E63:E70"/>
    <mergeCell ref="D61:D62"/>
    <mergeCell ref="D63:D66"/>
    <mergeCell ref="D69:D70"/>
    <mergeCell ref="D67:D68"/>
    <mergeCell ref="B20:B124"/>
    <mergeCell ref="C20:C25"/>
    <mergeCell ref="E20:E25"/>
    <mergeCell ref="D20:D25"/>
    <mergeCell ref="D26:D28"/>
    <mergeCell ref="D39:D43"/>
    <mergeCell ref="D52:D54"/>
    <mergeCell ref="C26:C38"/>
    <mergeCell ref="D29:D32"/>
    <mergeCell ref="D33:D38"/>
    <mergeCell ref="D44:D51"/>
    <mergeCell ref="C113:C117"/>
    <mergeCell ref="D113:D117"/>
    <mergeCell ref="E113:E117"/>
    <mergeCell ref="C55:C75"/>
    <mergeCell ref="D55:D60"/>
  </mergeCells>
  <phoneticPr fontId="21" type="noConversion"/>
  <dataValidations xWindow="697" yWindow="239" count="2">
    <dataValidation type="list" allowBlank="1" showInputMessage="1" showErrorMessage="1" sqref="G28 G35:G38 G41:G43 G31:G32 G49:G51 G54 G24 G58:G62 G72:G78 G81:G82 G64:G68 G85:G88 G91:G92 G121:G124 G56 G101 G103:G107 G109:G110 G112 G115:G119" xr:uid="{15748291-486B-4703-812C-C5D3D7971D5A}">
      <formula1>List_Peligros</formula1>
    </dataValidation>
    <dataValidation allowBlank="1" showInputMessage="1" showErrorMessage="1" errorTitle="Error" error="Ingrese un número entre 1 y 5" sqref="J20:J124" xr:uid="{7C5C39B2-F7DE-4DE7-AA8C-79966BA71387}"/>
  </dataValidations>
  <printOptions horizontalCentered="1"/>
  <pageMargins left="0.11811023622047245" right="0.11811023622047245" top="0.35433070866141736" bottom="0.11811023622047245" header="0.27559055118110237" footer="0.11811023622047245"/>
  <pageSetup paperSize="8" scale="17" fitToHeight="0" orientation="landscape" horizontalDpi="360" verticalDpi="360" r:id="rId1"/>
  <headerFooter alignWithMargins="0"/>
  <rowBreaks count="1" manualBreakCount="1">
    <brk id="120" max="22" man="1"/>
  </rowBreaks>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1" operator="containsText" id="{06C24E31-F9A9-419D-880B-1416943DA672}">
            <xm:f>NOT(ISERROR(SEARCH("ALTO",K20)))</xm:f>
            <xm:f>"ALTO"</xm:f>
            <x14:dxf>
              <font>
                <b/>
                <i val="0"/>
                <color theme="0"/>
              </font>
              <fill>
                <patternFill>
                  <bgColor rgb="FFFF0000"/>
                </patternFill>
              </fill>
            </x14:dxf>
          </x14:cfRule>
          <x14:cfRule type="containsText" priority="2" operator="containsText" id="{B7112619-77D8-4408-AF25-D500B19BA6EA}">
            <xm:f>NOT(ISERROR(SEARCH("MEDIO",K20)))</xm:f>
            <xm:f>"MEDIO"</xm:f>
            <x14:dxf>
              <font>
                <b/>
                <i val="0"/>
              </font>
              <fill>
                <patternFill>
                  <bgColor rgb="FFFFFF00"/>
                </patternFill>
              </fill>
            </x14:dxf>
          </x14:cfRule>
          <x14:cfRule type="containsText" priority="3" operator="containsText" id="{FF06AC95-8D21-4174-9605-B850809FDB4C}">
            <xm:f>NOT(ISERROR(SEARCH("BAJO",K20)))</xm:f>
            <xm:f>"BAJO"</xm:f>
            <x14:dxf>
              <font>
                <b/>
                <i val="0"/>
              </font>
              <fill>
                <patternFill>
                  <bgColor rgb="FF92D050"/>
                </patternFill>
              </fill>
            </x14:dxf>
          </x14:cfRule>
          <xm:sqref>K20:K124</xm:sqref>
        </x14:conditionalFormatting>
        <x14:conditionalFormatting xmlns:xm="http://schemas.microsoft.com/office/excel/2006/main">
          <x14:cfRule type="containsText" priority="4" operator="containsText" id="{33BA8D2C-88A4-453D-845B-256CFD14188C}">
            <xm:f>NOT(ISERROR(SEARCH("ALTO",S20)))</xm:f>
            <xm:f>"ALTO"</xm:f>
            <x14:dxf>
              <font>
                <b/>
                <i val="0"/>
                <color theme="0"/>
              </font>
              <fill>
                <patternFill>
                  <bgColor rgb="FFFF0000"/>
                </patternFill>
              </fill>
            </x14:dxf>
          </x14:cfRule>
          <x14:cfRule type="containsText" priority="5" operator="containsText" id="{C29899D3-76F3-47AB-9EBF-8D051FABC13E}">
            <xm:f>NOT(ISERROR(SEARCH("MEDIO",S20)))</xm:f>
            <xm:f>"MEDIO"</xm:f>
            <x14:dxf>
              <font>
                <b/>
                <i val="0"/>
              </font>
              <fill>
                <patternFill>
                  <bgColor rgb="FFFFFF00"/>
                </patternFill>
              </fill>
            </x14:dxf>
          </x14:cfRule>
          <x14:cfRule type="containsText" priority="6" operator="containsText" id="{B80D4A27-467F-4B1E-B876-4EA5F0468F14}">
            <xm:f>NOT(ISERROR(SEARCH("BAJO",S20)))</xm:f>
            <xm:f>"BAJO"</xm:f>
            <x14:dxf>
              <font>
                <b/>
                <i val="0"/>
              </font>
              <fill>
                <patternFill>
                  <bgColor rgb="FF92D050"/>
                </patternFill>
              </fill>
            </x14:dxf>
          </x14:cfRule>
          <xm:sqref>S20:S124</xm:sqref>
        </x14:conditionalFormatting>
      </x14:conditionalFormattings>
    </ext>
    <ext xmlns:x14="http://schemas.microsoft.com/office/spreadsheetml/2009/9/main" uri="{CCE6A557-97BC-4b89-ADB6-D9C93CAAB3DF}">
      <x14:dataValidations xmlns:xm="http://schemas.microsoft.com/office/excel/2006/main" xWindow="697" yWindow="239" count="5">
        <x14:dataValidation type="list" allowBlank="1" showInputMessage="1" showErrorMessage="1" xr:uid="{EB565182-15C8-43A8-862A-ED832908789D}">
          <x14:formula1>
            <xm:f>'1'!$E$3:$E$81</xm:f>
          </x14:formula1>
          <xm:sqref>H96:H99 H20:H83 H85:H94 H101:H107 H109:H111 H114:H124</xm:sqref>
        </x14:dataValidation>
        <x14:dataValidation type="list" allowBlank="1" showInputMessage="1" showErrorMessage="1" xr:uid="{6BF08E2F-B182-45AD-A082-C970B2EB657A}">
          <x14:formula1>
            <xm:f>'LIST P&amp;R'!$D$3:$D$71</xm:f>
          </x14:formula1>
          <xm:sqref>G44 G63 G96:G97</xm:sqref>
        </x14:dataValidation>
        <x14:dataValidation type="list" allowBlank="1" showInputMessage="1" showErrorMessage="1" xr:uid="{2FEF2C39-BA2B-47AB-84A8-4B6554D36F2F}">
          <x14:formula1>
            <xm:f>'LIST P&amp;R'!$E$3:$E$71</xm:f>
          </x14:formula1>
          <xm:sqref>H84 H100 H108 H95 H113</xm:sqref>
        </x14:dataValidation>
        <x14:dataValidation type="list" allowBlank="1" showInputMessage="1" showErrorMessage="1" xr:uid="{8D9F55C5-8761-4B67-B456-273097727282}">
          <x14:formula1>
            <xm:f>'LIST P&amp;R'!$C$3:$C$71</xm:f>
          </x14:formula1>
          <xm:sqref>F20:F124</xm:sqref>
        </x14:dataValidation>
        <x14:dataValidation type="list" allowBlank="1" showInputMessage="1" showErrorMessage="1" xr:uid="{FD574800-D0C8-4790-8E1F-A343146E6F7D}">
          <x14:formula1>
            <xm:f>'Matriz de evaluación'!$B$9:$F$9</xm:f>
          </x14:formula1>
          <xm:sqref>Q20:Q124 I20:I124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A00C4-18CA-4576-87F4-2ED8EAAAF5CB}">
  <dimension ref="A1:G71"/>
  <sheetViews>
    <sheetView topLeftCell="A62" zoomScale="70" zoomScaleNormal="70" workbookViewId="0">
      <selection activeCell="E29" sqref="E29"/>
    </sheetView>
  </sheetViews>
  <sheetFormatPr baseColWidth="10" defaultRowHeight="12.5" x14ac:dyDescent="0.25"/>
  <cols>
    <col min="1" max="1" width="20.81640625" customWidth="1"/>
    <col min="2" max="2" width="20.453125" customWidth="1"/>
    <col min="3" max="3" width="19" customWidth="1"/>
    <col min="4" max="7" width="30.81640625" customWidth="1"/>
  </cols>
  <sheetData>
    <row r="1" spans="1:7" ht="13.5" thickBot="1" x14ac:dyDescent="0.3">
      <c r="A1" s="311" t="s">
        <v>155</v>
      </c>
      <c r="B1" s="312"/>
      <c r="C1" s="312"/>
      <c r="D1" s="312"/>
      <c r="E1" s="312"/>
      <c r="F1" s="312"/>
      <c r="G1" s="313"/>
    </row>
    <row r="2" spans="1:7" ht="13.5" thickBot="1" x14ac:dyDescent="0.3">
      <c r="A2" s="95" t="s">
        <v>156</v>
      </c>
      <c r="B2" s="96" t="s">
        <v>157</v>
      </c>
      <c r="C2" s="96" t="s">
        <v>157</v>
      </c>
      <c r="D2" s="96" t="s">
        <v>158</v>
      </c>
      <c r="E2" s="96" t="s">
        <v>159</v>
      </c>
      <c r="F2" s="96" t="s">
        <v>160</v>
      </c>
      <c r="G2" s="96" t="s">
        <v>88</v>
      </c>
    </row>
    <row r="3" spans="1:7" ht="103.5" customHeight="1" thickBot="1" x14ac:dyDescent="0.3">
      <c r="A3" s="301" t="s">
        <v>161</v>
      </c>
      <c r="B3" s="301" t="s">
        <v>470</v>
      </c>
      <c r="C3" s="97" t="s">
        <v>475</v>
      </c>
      <c r="D3" s="98" t="s">
        <v>58</v>
      </c>
      <c r="E3" s="99" t="s">
        <v>59</v>
      </c>
      <c r="F3" s="99" t="s">
        <v>476</v>
      </c>
      <c r="G3" s="100">
        <v>3</v>
      </c>
    </row>
    <row r="4" spans="1:7" ht="38" thickBot="1" x14ac:dyDescent="0.3">
      <c r="A4" s="302"/>
      <c r="B4" s="302"/>
      <c r="C4" s="97" t="s">
        <v>477</v>
      </c>
      <c r="D4" s="98" t="s">
        <v>42</v>
      </c>
      <c r="E4" s="99" t="s">
        <v>43</v>
      </c>
      <c r="F4" s="99" t="s">
        <v>478</v>
      </c>
      <c r="G4" s="100">
        <v>3</v>
      </c>
    </row>
    <row r="5" spans="1:7" ht="63" thickBot="1" x14ac:dyDescent="0.3">
      <c r="A5" s="302"/>
      <c r="B5" s="302"/>
      <c r="C5" s="97" t="s">
        <v>479</v>
      </c>
      <c r="D5" s="98" t="s">
        <v>168</v>
      </c>
      <c r="E5" s="99" t="s">
        <v>169</v>
      </c>
      <c r="F5" s="99" t="s">
        <v>170</v>
      </c>
      <c r="G5" s="100">
        <v>3</v>
      </c>
    </row>
    <row r="6" spans="1:7" ht="63" thickBot="1" x14ac:dyDescent="0.3">
      <c r="A6" s="302"/>
      <c r="B6" s="302"/>
      <c r="C6" s="97" t="s">
        <v>480</v>
      </c>
      <c r="D6" s="98" t="s">
        <v>44</v>
      </c>
      <c r="E6" s="99" t="s">
        <v>481</v>
      </c>
      <c r="F6" s="99" t="s">
        <v>482</v>
      </c>
      <c r="G6" s="100">
        <v>2</v>
      </c>
    </row>
    <row r="7" spans="1:7" ht="38" thickBot="1" x14ac:dyDescent="0.3">
      <c r="A7" s="302"/>
      <c r="B7" s="302"/>
      <c r="C7" s="97" t="s">
        <v>483</v>
      </c>
      <c r="D7" s="98" t="s">
        <v>484</v>
      </c>
      <c r="E7" s="99" t="s">
        <v>45</v>
      </c>
      <c r="F7" s="99" t="s">
        <v>485</v>
      </c>
      <c r="G7" s="100">
        <v>3</v>
      </c>
    </row>
    <row r="8" spans="1:7" ht="112.5" customHeight="1" thickBot="1" x14ac:dyDescent="0.3">
      <c r="A8" s="302"/>
      <c r="B8" s="302"/>
      <c r="C8" s="97" t="s">
        <v>486</v>
      </c>
      <c r="D8" s="98" t="s">
        <v>178</v>
      </c>
      <c r="E8" s="99" t="s">
        <v>179</v>
      </c>
      <c r="F8" s="99" t="s">
        <v>180</v>
      </c>
      <c r="G8" s="100">
        <v>4</v>
      </c>
    </row>
    <row r="9" spans="1:7" ht="112.5" customHeight="1" x14ac:dyDescent="0.25">
      <c r="A9" s="302"/>
      <c r="B9" s="302"/>
      <c r="C9" s="314" t="s">
        <v>487</v>
      </c>
      <c r="D9" s="101" t="s">
        <v>488</v>
      </c>
      <c r="E9" s="306" t="s">
        <v>185</v>
      </c>
      <c r="F9" s="306" t="s">
        <v>489</v>
      </c>
      <c r="G9" s="317">
        <v>4</v>
      </c>
    </row>
    <row r="10" spans="1:7" ht="112.5" customHeight="1" thickBot="1" x14ac:dyDescent="0.3">
      <c r="A10" s="302"/>
      <c r="B10" s="302"/>
      <c r="C10" s="315"/>
      <c r="D10" s="98" t="s">
        <v>490</v>
      </c>
      <c r="E10" s="316"/>
      <c r="F10" s="316"/>
      <c r="G10" s="318"/>
    </row>
    <row r="11" spans="1:7" ht="112.5" customHeight="1" x14ac:dyDescent="0.25">
      <c r="A11" s="302"/>
      <c r="B11" s="302"/>
      <c r="C11" s="314" t="s">
        <v>491</v>
      </c>
      <c r="D11" s="101" t="s">
        <v>492</v>
      </c>
      <c r="E11" s="306" t="s">
        <v>49</v>
      </c>
      <c r="F11" s="306" t="s">
        <v>493</v>
      </c>
      <c r="G11" s="317">
        <v>4</v>
      </c>
    </row>
    <row r="12" spans="1:7" ht="112.5" customHeight="1" thickBot="1" x14ac:dyDescent="0.3">
      <c r="A12" s="302"/>
      <c r="B12" s="302"/>
      <c r="C12" s="315"/>
      <c r="D12" s="98" t="s">
        <v>490</v>
      </c>
      <c r="E12" s="316"/>
      <c r="F12" s="316"/>
      <c r="G12" s="318"/>
    </row>
    <row r="13" spans="1:7" ht="112.5" customHeight="1" thickBot="1" x14ac:dyDescent="0.3">
      <c r="A13" s="302"/>
      <c r="B13" s="302"/>
      <c r="C13" s="97" t="s">
        <v>494</v>
      </c>
      <c r="D13" s="99" t="s">
        <v>190</v>
      </c>
      <c r="E13" s="99" t="s">
        <v>495</v>
      </c>
      <c r="F13" s="99" t="s">
        <v>496</v>
      </c>
      <c r="G13" s="100">
        <v>4</v>
      </c>
    </row>
    <row r="14" spans="1:7" ht="112.5" customHeight="1" thickBot="1" x14ac:dyDescent="0.3">
      <c r="A14" s="303"/>
      <c r="B14" s="303"/>
      <c r="C14" s="97" t="s">
        <v>497</v>
      </c>
      <c r="D14" s="106" t="s">
        <v>196</v>
      </c>
      <c r="E14" s="99" t="s">
        <v>498</v>
      </c>
      <c r="F14" s="99" t="s">
        <v>499</v>
      </c>
      <c r="G14" s="100">
        <v>4</v>
      </c>
    </row>
    <row r="15" spans="1:7" ht="112.5" customHeight="1" thickBot="1" x14ac:dyDescent="0.3">
      <c r="A15" s="304" t="s">
        <v>199</v>
      </c>
      <c r="B15" s="304" t="s">
        <v>471</v>
      </c>
      <c r="C15" s="140" t="s">
        <v>500</v>
      </c>
      <c r="D15" s="141" t="s">
        <v>67</v>
      </c>
      <c r="E15" s="99" t="s">
        <v>501</v>
      </c>
      <c r="F15" s="99" t="s">
        <v>502</v>
      </c>
      <c r="G15" s="103">
        <v>3</v>
      </c>
    </row>
    <row r="16" spans="1:7" ht="25.5" thickBot="1" x14ac:dyDescent="0.3">
      <c r="A16" s="302"/>
      <c r="B16" s="302"/>
      <c r="C16" s="104" t="s">
        <v>503</v>
      </c>
      <c r="D16" s="121" t="s">
        <v>67</v>
      </c>
      <c r="E16" s="99" t="s">
        <v>504</v>
      </c>
      <c r="F16" s="99" t="s">
        <v>505</v>
      </c>
      <c r="G16" s="105">
        <v>4</v>
      </c>
    </row>
    <row r="17" spans="1:7" ht="25.5" thickBot="1" x14ac:dyDescent="0.3">
      <c r="A17" s="302"/>
      <c r="B17" s="302"/>
      <c r="C17" s="104" t="s">
        <v>506</v>
      </c>
      <c r="D17" s="99" t="s">
        <v>203</v>
      </c>
      <c r="E17" s="99" t="s">
        <v>507</v>
      </c>
      <c r="F17" s="99" t="s">
        <v>205</v>
      </c>
      <c r="G17" s="105">
        <v>3</v>
      </c>
    </row>
    <row r="18" spans="1:7" ht="63" thickBot="1" x14ac:dyDescent="0.3">
      <c r="A18" s="302"/>
      <c r="B18" s="302"/>
      <c r="C18" s="104" t="s">
        <v>508</v>
      </c>
      <c r="D18" s="99" t="s">
        <v>509</v>
      </c>
      <c r="E18" s="99" t="s">
        <v>510</v>
      </c>
      <c r="F18" s="99" t="s">
        <v>511</v>
      </c>
      <c r="G18" s="105">
        <v>3</v>
      </c>
    </row>
    <row r="19" spans="1:7" ht="25.5" thickBot="1" x14ac:dyDescent="0.3">
      <c r="A19" s="302"/>
      <c r="B19" s="302"/>
      <c r="C19" s="104" t="s">
        <v>512</v>
      </c>
      <c r="D19" s="99" t="s">
        <v>513</v>
      </c>
      <c r="E19" s="99" t="s">
        <v>514</v>
      </c>
      <c r="F19" s="99" t="s">
        <v>515</v>
      </c>
      <c r="G19" s="105">
        <v>2</v>
      </c>
    </row>
    <row r="20" spans="1:7" ht="75.5" thickBot="1" x14ac:dyDescent="0.3">
      <c r="A20" s="302"/>
      <c r="B20" s="302"/>
      <c r="C20" s="104" t="s">
        <v>516</v>
      </c>
      <c r="D20" s="99" t="s">
        <v>517</v>
      </c>
      <c r="E20" s="99" t="s">
        <v>518</v>
      </c>
      <c r="F20" s="99" t="s">
        <v>519</v>
      </c>
      <c r="G20" s="105">
        <v>3</v>
      </c>
    </row>
    <row r="21" spans="1:7" ht="75.5" thickBot="1" x14ac:dyDescent="0.3">
      <c r="A21" s="302"/>
      <c r="B21" s="302"/>
      <c r="C21" s="104" t="s">
        <v>520</v>
      </c>
      <c r="D21" s="99" t="s">
        <v>521</v>
      </c>
      <c r="E21" s="99" t="s">
        <v>522</v>
      </c>
      <c r="F21" s="99" t="s">
        <v>523</v>
      </c>
      <c r="G21" s="105">
        <v>2</v>
      </c>
    </row>
    <row r="22" spans="1:7" ht="25.5" thickBot="1" x14ac:dyDescent="0.3">
      <c r="A22" s="302"/>
      <c r="B22" s="302"/>
      <c r="C22" s="104" t="s">
        <v>524</v>
      </c>
      <c r="D22" s="99" t="s">
        <v>525</v>
      </c>
      <c r="E22" s="99" t="s">
        <v>526</v>
      </c>
      <c r="F22" s="99" t="s">
        <v>225</v>
      </c>
      <c r="G22" s="105">
        <v>3</v>
      </c>
    </row>
    <row r="23" spans="1:7" ht="38" thickBot="1" x14ac:dyDescent="0.3">
      <c r="A23" s="302"/>
      <c r="B23" s="302"/>
      <c r="C23" s="104" t="s">
        <v>527</v>
      </c>
      <c r="D23" s="99" t="s">
        <v>528</v>
      </c>
      <c r="E23" s="99" t="s">
        <v>529</v>
      </c>
      <c r="F23" s="99" t="s">
        <v>530</v>
      </c>
      <c r="G23" s="105">
        <v>2</v>
      </c>
    </row>
    <row r="24" spans="1:7" ht="50.5" thickBot="1" x14ac:dyDescent="0.3">
      <c r="A24" s="302"/>
      <c r="B24" s="302"/>
      <c r="C24" s="104" t="s">
        <v>531</v>
      </c>
      <c r="D24" s="99" t="s">
        <v>231</v>
      </c>
      <c r="E24" s="99" t="s">
        <v>532</v>
      </c>
      <c r="F24" s="99" t="s">
        <v>533</v>
      </c>
      <c r="G24" s="105">
        <v>2</v>
      </c>
    </row>
    <row r="25" spans="1:7" ht="13" thickBot="1" x14ac:dyDescent="0.3">
      <c r="A25" s="302"/>
      <c r="B25" s="302"/>
      <c r="C25" s="104" t="s">
        <v>534</v>
      </c>
      <c r="D25" s="99" t="s">
        <v>535</v>
      </c>
      <c r="E25" s="99" t="s">
        <v>236</v>
      </c>
      <c r="F25" s="99" t="s">
        <v>536</v>
      </c>
      <c r="G25" s="105">
        <v>3</v>
      </c>
    </row>
    <row r="26" spans="1:7" ht="50.5" thickBot="1" x14ac:dyDescent="0.3">
      <c r="A26" s="302"/>
      <c r="B26" s="302"/>
      <c r="C26" s="104" t="s">
        <v>537</v>
      </c>
      <c r="D26" s="99" t="s">
        <v>538</v>
      </c>
      <c r="E26" s="99" t="s">
        <v>71</v>
      </c>
      <c r="F26" s="99" t="s">
        <v>533</v>
      </c>
      <c r="G26" s="105">
        <v>2</v>
      </c>
    </row>
    <row r="27" spans="1:7" ht="77.25" customHeight="1" thickBot="1" x14ac:dyDescent="0.3">
      <c r="A27" s="302"/>
      <c r="B27" s="302"/>
      <c r="C27" s="104" t="s">
        <v>539</v>
      </c>
      <c r="D27" s="309" t="s">
        <v>540</v>
      </c>
      <c r="E27" s="99" t="s">
        <v>71</v>
      </c>
      <c r="F27" s="99" t="s">
        <v>541</v>
      </c>
      <c r="G27" s="105">
        <v>2</v>
      </c>
    </row>
    <row r="28" spans="1:7" ht="77.25" customHeight="1" thickBot="1" x14ac:dyDescent="0.3">
      <c r="A28" s="302"/>
      <c r="B28" s="302"/>
      <c r="C28" s="104" t="s">
        <v>542</v>
      </c>
      <c r="D28" s="310"/>
      <c r="E28" s="99" t="s">
        <v>543</v>
      </c>
      <c r="F28" s="99" t="s">
        <v>544</v>
      </c>
      <c r="G28" s="105">
        <v>2</v>
      </c>
    </row>
    <row r="29" spans="1:7" ht="77.25" customHeight="1" thickBot="1" x14ac:dyDescent="0.3">
      <c r="A29" s="305"/>
      <c r="B29" s="305"/>
      <c r="C29" s="104" t="s">
        <v>545</v>
      </c>
      <c r="D29" s="101" t="s">
        <v>546</v>
      </c>
      <c r="E29" s="106" t="s">
        <v>547</v>
      </c>
      <c r="F29" s="106" t="s">
        <v>548</v>
      </c>
      <c r="G29" s="107">
        <v>3</v>
      </c>
    </row>
    <row r="30" spans="1:7" ht="77.25" customHeight="1" x14ac:dyDescent="0.25">
      <c r="A30" s="301" t="s">
        <v>250</v>
      </c>
      <c r="B30" s="301" t="s">
        <v>469</v>
      </c>
      <c r="C30" s="177" t="s">
        <v>549</v>
      </c>
      <c r="D30" s="108" t="s">
        <v>690</v>
      </c>
      <c r="E30" s="178" t="s">
        <v>32</v>
      </c>
      <c r="F30" s="181" t="s">
        <v>551</v>
      </c>
      <c r="G30" s="179">
        <v>4</v>
      </c>
    </row>
    <row r="31" spans="1:7" ht="77.25" customHeight="1" thickBot="1" x14ac:dyDescent="0.3">
      <c r="A31" s="302"/>
      <c r="B31" s="302"/>
      <c r="C31" s="100" t="s">
        <v>552</v>
      </c>
      <c r="D31" s="99" t="s">
        <v>553</v>
      </c>
      <c r="E31" s="99" t="s">
        <v>554</v>
      </c>
      <c r="F31" s="109" t="s">
        <v>555</v>
      </c>
      <c r="G31" s="110">
        <v>2</v>
      </c>
    </row>
    <row r="32" spans="1:7" ht="77.25" customHeight="1" thickBot="1" x14ac:dyDescent="0.3">
      <c r="A32" s="303"/>
      <c r="B32" s="303"/>
      <c r="C32" s="100" t="s">
        <v>556</v>
      </c>
      <c r="D32" s="99" t="s">
        <v>254</v>
      </c>
      <c r="E32" s="99" t="s">
        <v>255</v>
      </c>
      <c r="F32" s="111" t="s">
        <v>557</v>
      </c>
      <c r="G32" s="105">
        <v>2</v>
      </c>
    </row>
    <row r="33" spans="1:7" ht="77.25" customHeight="1" thickBot="1" x14ac:dyDescent="0.3">
      <c r="A33" s="304" t="s">
        <v>257</v>
      </c>
      <c r="B33" s="304" t="s">
        <v>472</v>
      </c>
      <c r="C33" s="100" t="s">
        <v>558</v>
      </c>
      <c r="D33" s="99" t="s">
        <v>54</v>
      </c>
      <c r="E33" s="99" t="s">
        <v>55</v>
      </c>
      <c r="F33" s="99" t="s">
        <v>559</v>
      </c>
      <c r="G33" s="105">
        <v>3</v>
      </c>
    </row>
    <row r="34" spans="1:7" ht="77.25" customHeight="1" thickBot="1" x14ac:dyDescent="0.3">
      <c r="A34" s="302"/>
      <c r="B34" s="302"/>
      <c r="C34" s="100" t="s">
        <v>560</v>
      </c>
      <c r="D34" s="98" t="s">
        <v>63</v>
      </c>
      <c r="E34" s="99" t="s">
        <v>64</v>
      </c>
      <c r="F34" s="99" t="s">
        <v>561</v>
      </c>
      <c r="G34" s="100">
        <v>3</v>
      </c>
    </row>
    <row r="35" spans="1:7" ht="77.25" customHeight="1" thickBot="1" x14ac:dyDescent="0.3">
      <c r="A35" s="302"/>
      <c r="B35" s="302"/>
      <c r="C35" s="100" t="s">
        <v>562</v>
      </c>
      <c r="D35" s="98" t="s">
        <v>65</v>
      </c>
      <c r="E35" s="99" t="s">
        <v>66</v>
      </c>
      <c r="F35" s="99" t="s">
        <v>561</v>
      </c>
      <c r="G35" s="100">
        <v>3</v>
      </c>
    </row>
    <row r="36" spans="1:7" ht="77.25" customHeight="1" thickBot="1" x14ac:dyDescent="0.3">
      <c r="A36" s="305"/>
      <c r="B36" s="305"/>
      <c r="C36" s="102" t="s">
        <v>563</v>
      </c>
      <c r="D36" s="101" t="s">
        <v>35</v>
      </c>
      <c r="E36" s="99" t="s">
        <v>36</v>
      </c>
      <c r="F36" s="99" t="s">
        <v>561</v>
      </c>
      <c r="G36" s="100">
        <v>3</v>
      </c>
    </row>
    <row r="37" spans="1:7" ht="77.25" customHeight="1" thickBot="1" x14ac:dyDescent="0.3">
      <c r="A37" s="301" t="s">
        <v>564</v>
      </c>
      <c r="B37" s="301" t="s">
        <v>473</v>
      </c>
      <c r="C37" s="112" t="s">
        <v>565</v>
      </c>
      <c r="D37" s="113" t="s">
        <v>566</v>
      </c>
      <c r="E37" s="99" t="s">
        <v>272</v>
      </c>
      <c r="F37" s="99" t="s">
        <v>273</v>
      </c>
      <c r="G37" s="105">
        <v>2</v>
      </c>
    </row>
    <row r="38" spans="1:7" ht="77.25" customHeight="1" thickBot="1" x14ac:dyDescent="0.3">
      <c r="A38" s="302"/>
      <c r="B38" s="302"/>
      <c r="C38" s="100" t="s">
        <v>567</v>
      </c>
      <c r="D38" s="99" t="s">
        <v>82</v>
      </c>
      <c r="E38" s="99" t="s">
        <v>83</v>
      </c>
      <c r="F38" s="99" t="s">
        <v>275</v>
      </c>
      <c r="G38" s="105">
        <v>2</v>
      </c>
    </row>
    <row r="39" spans="1:7" ht="77.25" customHeight="1" thickBot="1" x14ac:dyDescent="0.3">
      <c r="A39" s="302"/>
      <c r="B39" s="302"/>
      <c r="C39" s="100" t="s">
        <v>568</v>
      </c>
      <c r="D39" s="106" t="s">
        <v>569</v>
      </c>
      <c r="E39" s="99" t="s">
        <v>295</v>
      </c>
      <c r="F39" s="99" t="s">
        <v>296</v>
      </c>
      <c r="G39" s="105">
        <v>2</v>
      </c>
    </row>
    <row r="40" spans="1:7" ht="77.25" customHeight="1" thickBot="1" x14ac:dyDescent="0.3">
      <c r="A40" s="302"/>
      <c r="B40" s="302"/>
      <c r="C40" s="100" t="s">
        <v>570</v>
      </c>
      <c r="D40" s="99" t="s">
        <v>571</v>
      </c>
      <c r="E40" s="99" t="s">
        <v>232</v>
      </c>
      <c r="F40" s="99" t="s">
        <v>297</v>
      </c>
      <c r="G40" s="105">
        <v>2</v>
      </c>
    </row>
    <row r="41" spans="1:7" ht="77.25" customHeight="1" thickBot="1" x14ac:dyDescent="0.3">
      <c r="A41" s="302"/>
      <c r="B41" s="302"/>
      <c r="C41" s="100" t="s">
        <v>572</v>
      </c>
      <c r="D41" s="99" t="s">
        <v>299</v>
      </c>
      <c r="E41" s="99" t="s">
        <v>300</v>
      </c>
      <c r="F41" s="99" t="s">
        <v>301</v>
      </c>
      <c r="G41" s="105">
        <v>3</v>
      </c>
    </row>
    <row r="42" spans="1:7" ht="25.5" thickBot="1" x14ac:dyDescent="0.3">
      <c r="A42" s="302"/>
      <c r="B42" s="302"/>
      <c r="C42" s="100" t="s">
        <v>573</v>
      </c>
      <c r="D42" s="99" t="s">
        <v>355</v>
      </c>
      <c r="E42" s="99" t="s">
        <v>574</v>
      </c>
      <c r="F42" s="99" t="s">
        <v>356</v>
      </c>
      <c r="G42" s="105">
        <v>2</v>
      </c>
    </row>
    <row r="43" spans="1:7" ht="25.5" thickBot="1" x14ac:dyDescent="0.3">
      <c r="A43" s="302"/>
      <c r="B43" s="302"/>
      <c r="C43" s="100" t="s">
        <v>575</v>
      </c>
      <c r="D43" s="99" t="s">
        <v>358</v>
      </c>
      <c r="E43" s="99" t="s">
        <v>576</v>
      </c>
      <c r="F43" s="99" t="s">
        <v>577</v>
      </c>
      <c r="G43" s="105">
        <v>3</v>
      </c>
    </row>
    <row r="44" spans="1:7" ht="38" thickBot="1" x14ac:dyDescent="0.3">
      <c r="A44" s="303"/>
      <c r="B44" s="303"/>
      <c r="C44" s="100" t="s">
        <v>578</v>
      </c>
      <c r="D44" s="99" t="s">
        <v>366</v>
      </c>
      <c r="E44" s="99" t="s">
        <v>579</v>
      </c>
      <c r="F44" s="99" t="s">
        <v>368</v>
      </c>
      <c r="G44" s="105">
        <v>3</v>
      </c>
    </row>
    <row r="45" spans="1:7" ht="13" thickBot="1" x14ac:dyDescent="0.3">
      <c r="A45" s="304" t="s">
        <v>324</v>
      </c>
      <c r="B45" s="304" t="s">
        <v>580</v>
      </c>
      <c r="C45" s="100" t="s">
        <v>581</v>
      </c>
      <c r="D45" s="98" t="s">
        <v>325</v>
      </c>
      <c r="E45" s="114" t="s">
        <v>582</v>
      </c>
      <c r="F45" s="99" t="s">
        <v>583</v>
      </c>
      <c r="G45" s="100">
        <v>4</v>
      </c>
    </row>
    <row r="46" spans="1:7" ht="25.5" thickBot="1" x14ac:dyDescent="0.3">
      <c r="A46" s="302"/>
      <c r="B46" s="302"/>
      <c r="C46" s="100" t="s">
        <v>584</v>
      </c>
      <c r="D46" s="98" t="s">
        <v>585</v>
      </c>
      <c r="E46" s="98" t="s">
        <v>329</v>
      </c>
      <c r="F46" s="99" t="s">
        <v>586</v>
      </c>
      <c r="G46" s="100">
        <v>4</v>
      </c>
    </row>
    <row r="47" spans="1:7" ht="38" thickBot="1" x14ac:dyDescent="0.3">
      <c r="A47" s="302"/>
      <c r="B47" s="302"/>
      <c r="C47" s="100" t="s">
        <v>587</v>
      </c>
      <c r="D47" s="98" t="s">
        <v>334</v>
      </c>
      <c r="E47" s="114" t="s">
        <v>588</v>
      </c>
      <c r="F47" s="99" t="s">
        <v>589</v>
      </c>
      <c r="G47" s="100">
        <v>4</v>
      </c>
    </row>
    <row r="48" spans="1:7" ht="25.5" thickBot="1" x14ac:dyDescent="0.3">
      <c r="A48" s="302"/>
      <c r="B48" s="302"/>
      <c r="C48" s="100" t="s">
        <v>590</v>
      </c>
      <c r="D48" s="99" t="s">
        <v>591</v>
      </c>
      <c r="E48" s="114" t="s">
        <v>592</v>
      </c>
      <c r="F48" s="99" t="s">
        <v>593</v>
      </c>
      <c r="G48" s="105">
        <v>4</v>
      </c>
    </row>
    <row r="49" spans="1:7" ht="75.5" thickBot="1" x14ac:dyDescent="0.3">
      <c r="A49" s="305"/>
      <c r="B49" s="305"/>
      <c r="C49" s="102" t="s">
        <v>594</v>
      </c>
      <c r="D49" s="106" t="s">
        <v>595</v>
      </c>
      <c r="E49" s="115" t="s">
        <v>596</v>
      </c>
      <c r="F49" s="106" t="s">
        <v>597</v>
      </c>
      <c r="G49" s="107">
        <v>4</v>
      </c>
    </row>
    <row r="50" spans="1:7" ht="25.5" thickBot="1" x14ac:dyDescent="0.3">
      <c r="A50" s="301" t="s">
        <v>675</v>
      </c>
      <c r="B50" s="301"/>
      <c r="C50" s="112" t="s">
        <v>598</v>
      </c>
      <c r="D50" s="113" t="s">
        <v>599</v>
      </c>
      <c r="E50" s="113" t="s">
        <v>363</v>
      </c>
      <c r="F50" s="113" t="s">
        <v>364</v>
      </c>
      <c r="G50" s="116">
        <v>2</v>
      </c>
    </row>
    <row r="51" spans="1:7" ht="38" thickBot="1" x14ac:dyDescent="0.3">
      <c r="A51" s="302"/>
      <c r="B51" s="302"/>
      <c r="C51" s="100" t="s">
        <v>600</v>
      </c>
      <c r="D51" s="99" t="s">
        <v>266</v>
      </c>
      <c r="E51" s="99" t="s">
        <v>267</v>
      </c>
      <c r="F51" s="99" t="s">
        <v>268</v>
      </c>
      <c r="G51" s="105">
        <v>3</v>
      </c>
    </row>
    <row r="52" spans="1:7" ht="85.5" customHeight="1" x14ac:dyDescent="0.25">
      <c r="A52" s="302"/>
      <c r="B52" s="302"/>
      <c r="C52" s="177" t="s">
        <v>601</v>
      </c>
      <c r="D52" s="102" t="s">
        <v>602</v>
      </c>
      <c r="E52" s="177" t="s">
        <v>69</v>
      </c>
      <c r="F52" s="177" t="s">
        <v>284</v>
      </c>
      <c r="G52" s="180">
        <v>2</v>
      </c>
    </row>
    <row r="53" spans="1:7" ht="72" customHeight="1" thickBot="1" x14ac:dyDescent="0.3">
      <c r="A53" s="302"/>
      <c r="B53" s="302"/>
      <c r="C53" s="100" t="s">
        <v>603</v>
      </c>
      <c r="D53" s="99" t="s">
        <v>604</v>
      </c>
      <c r="E53" s="99" t="s">
        <v>689</v>
      </c>
      <c r="F53" s="99" t="s">
        <v>279</v>
      </c>
      <c r="G53" s="105">
        <v>2</v>
      </c>
    </row>
    <row r="54" spans="1:7" ht="132.75" customHeight="1" thickBot="1" x14ac:dyDescent="0.3">
      <c r="A54" s="302"/>
      <c r="B54" s="302"/>
      <c r="C54" s="100" t="s">
        <v>605</v>
      </c>
      <c r="D54" s="99" t="s">
        <v>56</v>
      </c>
      <c r="E54" s="99" t="s">
        <v>57</v>
      </c>
      <c r="F54" s="99" t="s">
        <v>281</v>
      </c>
      <c r="G54" s="105">
        <v>3</v>
      </c>
    </row>
    <row r="55" spans="1:7" ht="132.75" customHeight="1" thickBot="1" x14ac:dyDescent="0.3">
      <c r="A55" s="302"/>
      <c r="B55" s="302"/>
      <c r="C55" s="100" t="s">
        <v>606</v>
      </c>
      <c r="D55" s="99" t="s">
        <v>607</v>
      </c>
      <c r="E55" s="99" t="s">
        <v>69</v>
      </c>
      <c r="F55" s="99" t="s">
        <v>284</v>
      </c>
      <c r="G55" s="105">
        <v>2</v>
      </c>
    </row>
    <row r="56" spans="1:7" ht="132.75" customHeight="1" thickBot="1" x14ac:dyDescent="0.3">
      <c r="A56" s="302"/>
      <c r="B56" s="302"/>
      <c r="C56" s="100" t="s">
        <v>608</v>
      </c>
      <c r="D56" s="99" t="s">
        <v>74</v>
      </c>
      <c r="E56" s="99" t="s">
        <v>691</v>
      </c>
      <c r="F56" s="99" t="s">
        <v>286</v>
      </c>
      <c r="G56" s="105">
        <v>3</v>
      </c>
    </row>
    <row r="57" spans="1:7" ht="132.75" customHeight="1" thickBot="1" x14ac:dyDescent="0.3">
      <c r="A57" s="302"/>
      <c r="B57" s="302"/>
      <c r="C57" s="100" t="s">
        <v>609</v>
      </c>
      <c r="D57" s="99" t="s">
        <v>288</v>
      </c>
      <c r="E57" s="99" t="s">
        <v>289</v>
      </c>
      <c r="F57" s="99" t="s">
        <v>290</v>
      </c>
      <c r="G57" s="105">
        <v>2</v>
      </c>
    </row>
    <row r="58" spans="1:7" ht="132.75" customHeight="1" x14ac:dyDescent="0.25">
      <c r="A58" s="302"/>
      <c r="B58" s="302"/>
      <c r="C58" s="177" t="s">
        <v>610</v>
      </c>
      <c r="D58" s="102" t="s">
        <v>692</v>
      </c>
      <c r="E58" s="177" t="s">
        <v>312</v>
      </c>
      <c r="F58" s="177" t="s">
        <v>313</v>
      </c>
      <c r="G58" s="180">
        <v>2</v>
      </c>
    </row>
    <row r="59" spans="1:7" ht="132.75" customHeight="1" x14ac:dyDescent="0.25">
      <c r="A59" s="302"/>
      <c r="B59" s="308"/>
      <c r="C59" s="183" t="s">
        <v>611</v>
      </c>
      <c r="D59" s="183" t="s">
        <v>693</v>
      </c>
      <c r="E59" s="183" t="s">
        <v>316</v>
      </c>
      <c r="F59" s="183" t="s">
        <v>317</v>
      </c>
      <c r="G59" s="184">
        <v>2</v>
      </c>
    </row>
    <row r="60" spans="1:7" ht="132.75" customHeight="1" thickBot="1" x14ac:dyDescent="0.3">
      <c r="A60" s="302"/>
      <c r="B60" s="302"/>
      <c r="C60" s="100" t="s">
        <v>612</v>
      </c>
      <c r="D60" s="99" t="s">
        <v>40</v>
      </c>
      <c r="E60" s="99" t="s">
        <v>41</v>
      </c>
      <c r="F60" s="99" t="s">
        <v>319</v>
      </c>
      <c r="G60" s="105">
        <v>2</v>
      </c>
    </row>
    <row r="61" spans="1:7" ht="132.75" customHeight="1" thickBot="1" x14ac:dyDescent="0.3">
      <c r="A61" s="302"/>
      <c r="B61" s="302"/>
      <c r="C61" s="100" t="s">
        <v>613</v>
      </c>
      <c r="D61" s="99" t="s">
        <v>79</v>
      </c>
      <c r="E61" s="99" t="s">
        <v>80</v>
      </c>
      <c r="F61" s="99" t="s">
        <v>614</v>
      </c>
      <c r="G61" s="105">
        <v>2</v>
      </c>
    </row>
    <row r="62" spans="1:7" ht="25.5" thickBot="1" x14ac:dyDescent="0.3">
      <c r="A62" s="302"/>
      <c r="B62" s="302"/>
      <c r="C62" s="100" t="s">
        <v>615</v>
      </c>
      <c r="D62" s="99" t="s">
        <v>85</v>
      </c>
      <c r="E62" s="99" t="s">
        <v>616</v>
      </c>
      <c r="F62" s="99" t="s">
        <v>292</v>
      </c>
      <c r="G62" s="105">
        <v>2</v>
      </c>
    </row>
    <row r="63" spans="1:7" ht="13" thickBot="1" x14ac:dyDescent="0.3">
      <c r="A63" s="302"/>
      <c r="B63" s="302"/>
      <c r="C63" s="100" t="s">
        <v>617</v>
      </c>
      <c r="D63" s="306" t="s">
        <v>303</v>
      </c>
      <c r="E63" s="99" t="s">
        <v>304</v>
      </c>
      <c r="F63" s="99" t="s">
        <v>305</v>
      </c>
      <c r="G63" s="105">
        <v>2</v>
      </c>
    </row>
    <row r="64" spans="1:7" ht="78" customHeight="1" thickBot="1" x14ac:dyDescent="0.3">
      <c r="A64" s="303"/>
      <c r="B64" s="303"/>
      <c r="C64" s="100" t="s">
        <v>618</v>
      </c>
      <c r="D64" s="307"/>
      <c r="E64" s="99" t="s">
        <v>306</v>
      </c>
      <c r="F64" s="99" t="s">
        <v>307</v>
      </c>
      <c r="G64" s="105">
        <v>2</v>
      </c>
    </row>
    <row r="65" spans="1:7" ht="38" thickBot="1" x14ac:dyDescent="0.3">
      <c r="A65" s="304" t="s">
        <v>371</v>
      </c>
      <c r="B65" s="304" t="s">
        <v>474</v>
      </c>
      <c r="C65" s="100" t="s">
        <v>619</v>
      </c>
      <c r="D65" s="98" t="s">
        <v>46</v>
      </c>
      <c r="E65" s="114" t="s">
        <v>47</v>
      </c>
      <c r="F65" s="99" t="s">
        <v>373</v>
      </c>
      <c r="G65" s="105">
        <v>4</v>
      </c>
    </row>
    <row r="66" spans="1:7" ht="13" thickBot="1" x14ac:dyDescent="0.3">
      <c r="A66" s="302"/>
      <c r="B66" s="302"/>
      <c r="C66" s="100" t="s">
        <v>620</v>
      </c>
      <c r="D66" s="98" t="s">
        <v>375</v>
      </c>
      <c r="E66" s="99" t="s">
        <v>376</v>
      </c>
      <c r="F66" s="99" t="s">
        <v>621</v>
      </c>
      <c r="G66" s="105">
        <v>2</v>
      </c>
    </row>
    <row r="67" spans="1:7" ht="57.75" customHeight="1" thickBot="1" x14ac:dyDescent="0.3">
      <c r="A67" s="302"/>
      <c r="B67" s="302"/>
      <c r="C67" s="100" t="s">
        <v>622</v>
      </c>
      <c r="D67" s="98" t="s">
        <v>77</v>
      </c>
      <c r="E67" s="114" t="s">
        <v>78</v>
      </c>
      <c r="F67" s="99" t="s">
        <v>379</v>
      </c>
      <c r="G67" s="105">
        <v>2</v>
      </c>
    </row>
    <row r="68" spans="1:7" ht="38" thickBot="1" x14ac:dyDescent="0.3">
      <c r="A68" s="305"/>
      <c r="B68" s="305"/>
      <c r="C68" s="102" t="s">
        <v>623</v>
      </c>
      <c r="D68" s="101" t="s">
        <v>52</v>
      </c>
      <c r="E68" s="101" t="s">
        <v>76</v>
      </c>
      <c r="F68" s="106" t="s">
        <v>381</v>
      </c>
      <c r="G68" s="107">
        <v>4</v>
      </c>
    </row>
    <row r="69" spans="1:7" ht="13" thickBot="1" x14ac:dyDescent="0.3">
      <c r="A69" s="301" t="s">
        <v>382</v>
      </c>
      <c r="B69" s="301" t="s">
        <v>624</v>
      </c>
      <c r="C69" s="122" t="s">
        <v>383</v>
      </c>
      <c r="D69" s="123" t="s">
        <v>632</v>
      </c>
      <c r="E69" s="117" t="s">
        <v>633</v>
      </c>
      <c r="F69" s="113"/>
      <c r="G69" s="116"/>
    </row>
    <row r="70" spans="1:7" ht="13" thickBot="1" x14ac:dyDescent="0.3">
      <c r="A70" s="302"/>
      <c r="B70" s="302"/>
      <c r="C70" s="97" t="s">
        <v>625</v>
      </c>
      <c r="D70" s="120"/>
      <c r="E70" s="114"/>
      <c r="F70" s="99"/>
      <c r="G70" s="105"/>
    </row>
    <row r="71" spans="1:7" ht="13" thickBot="1" x14ac:dyDescent="0.3">
      <c r="A71" s="303"/>
      <c r="B71" s="303"/>
      <c r="C71" s="97" t="s">
        <v>626</v>
      </c>
      <c r="D71" s="121"/>
      <c r="E71" s="114"/>
      <c r="F71" s="99"/>
      <c r="G71" s="105"/>
    </row>
  </sheetData>
  <autoFilter ref="A2:G71" xr:uid="{DC507709-FC1F-459E-85D4-16DFBDDCCFCC}"/>
  <mergeCells count="29">
    <mergeCell ref="A15:A29"/>
    <mergeCell ref="B15:B29"/>
    <mergeCell ref="D27:D28"/>
    <mergeCell ref="A1:G1"/>
    <mergeCell ref="A3:A14"/>
    <mergeCell ref="B3:B14"/>
    <mergeCell ref="C9:C10"/>
    <mergeCell ref="E9:E10"/>
    <mergeCell ref="F9:F10"/>
    <mergeCell ref="G9:G10"/>
    <mergeCell ref="C11:C12"/>
    <mergeCell ref="E11:E12"/>
    <mergeCell ref="F11:F12"/>
    <mergeCell ref="G11:G12"/>
    <mergeCell ref="A33:A36"/>
    <mergeCell ref="B33:B36"/>
    <mergeCell ref="A37:A44"/>
    <mergeCell ref="B37:B44"/>
    <mergeCell ref="A30:A32"/>
    <mergeCell ref="B30:B32"/>
    <mergeCell ref="A69:A71"/>
    <mergeCell ref="B69:B71"/>
    <mergeCell ref="B45:B49"/>
    <mergeCell ref="D63:D64"/>
    <mergeCell ref="A65:A68"/>
    <mergeCell ref="B65:B68"/>
    <mergeCell ref="A50:A64"/>
    <mergeCell ref="B50:B64"/>
    <mergeCell ref="A45:A4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EA0DE-59B1-4678-86B4-636ECB79BA16}">
  <sheetPr>
    <pageSetUpPr fitToPage="1"/>
  </sheetPr>
  <dimension ref="A1:R1048576"/>
  <sheetViews>
    <sheetView tabSelected="1" topLeftCell="A7" zoomScale="70" zoomScaleNormal="70" workbookViewId="0">
      <selection activeCell="B11" sqref="B11"/>
    </sheetView>
  </sheetViews>
  <sheetFormatPr baseColWidth="10" defaultColWidth="0" defaultRowHeight="14.5" zeroHeight="1" x14ac:dyDescent="0.35"/>
  <cols>
    <col min="1" max="1" width="2.54296875" style="1" customWidth="1"/>
    <col min="2" max="6" width="22" style="1" customWidth="1"/>
    <col min="7" max="7" width="4.26953125" style="1" customWidth="1"/>
    <col min="8" max="8" width="22" style="1" customWidth="1"/>
    <col min="9" max="9" width="28.54296875" style="1" bestFit="1" customWidth="1"/>
    <col min="10" max="10" width="26.7265625" style="2" bestFit="1" customWidth="1"/>
    <col min="11" max="11" width="22.54296875" style="2" bestFit="1" customWidth="1"/>
    <col min="12" max="12" width="1.26953125" style="2" customWidth="1"/>
    <col min="13" max="14" width="10.7265625" style="2" hidden="1" customWidth="1"/>
    <col min="15" max="15" width="0" style="2" hidden="1" customWidth="1"/>
    <col min="16" max="17" width="10.7265625" style="2" hidden="1" customWidth="1"/>
    <col min="18" max="18" width="0" style="2" hidden="1" customWidth="1"/>
    <col min="19" max="16384" width="10.7265625" style="2" hidden="1"/>
  </cols>
  <sheetData>
    <row r="1" spans="1:12" x14ac:dyDescent="0.35">
      <c r="J1" s="1"/>
      <c r="K1" s="1"/>
      <c r="L1" s="1"/>
    </row>
    <row r="2" spans="1:12" ht="20" x14ac:dyDescent="0.35">
      <c r="B2" s="319" t="s">
        <v>87</v>
      </c>
      <c r="C2" s="319"/>
      <c r="D2" s="319"/>
      <c r="E2" s="319"/>
      <c r="F2" s="319"/>
      <c r="G2" s="133"/>
      <c r="H2" s="3" t="s">
        <v>88</v>
      </c>
      <c r="I2" s="4" t="s">
        <v>89</v>
      </c>
      <c r="J2" s="4" t="s">
        <v>90</v>
      </c>
      <c r="K2" s="4" t="s">
        <v>91</v>
      </c>
      <c r="L2" s="1"/>
    </row>
    <row r="3" spans="1:12" ht="3.75" customHeight="1" x14ac:dyDescent="0.35">
      <c r="B3" s="24" t="s">
        <v>92</v>
      </c>
      <c r="C3" s="24" t="s">
        <v>93</v>
      </c>
      <c r="D3" s="24" t="s">
        <v>94</v>
      </c>
      <c r="E3" s="24" t="s">
        <v>95</v>
      </c>
      <c r="F3" s="24" t="s">
        <v>96</v>
      </c>
      <c r="G3" s="133"/>
      <c r="H3" s="3"/>
      <c r="I3" s="4"/>
      <c r="J3" s="4"/>
      <c r="K3" s="4"/>
      <c r="L3" s="1"/>
    </row>
    <row r="4" spans="1:12" ht="70.150000000000006" customHeight="1" x14ac:dyDescent="0.35">
      <c r="A4" s="16" t="s">
        <v>97</v>
      </c>
      <c r="B4" s="5" t="s">
        <v>98</v>
      </c>
      <c r="C4" s="5" t="s">
        <v>99</v>
      </c>
      <c r="D4" s="5" t="s">
        <v>100</v>
      </c>
      <c r="E4" s="5" t="s">
        <v>101</v>
      </c>
      <c r="F4" s="6" t="s">
        <v>102</v>
      </c>
      <c r="G4" s="15">
        <v>1</v>
      </c>
      <c r="H4" s="7" t="s">
        <v>103</v>
      </c>
      <c r="I4" s="8" t="s">
        <v>104</v>
      </c>
      <c r="J4" s="8" t="s">
        <v>105</v>
      </c>
      <c r="K4" s="8" t="s">
        <v>106</v>
      </c>
      <c r="L4" s="1"/>
    </row>
    <row r="5" spans="1:12" ht="70.150000000000006" customHeight="1" x14ac:dyDescent="0.35">
      <c r="A5" s="16" t="s">
        <v>107</v>
      </c>
      <c r="B5" s="5" t="s">
        <v>108</v>
      </c>
      <c r="C5" s="5" t="s">
        <v>109</v>
      </c>
      <c r="D5" s="5" t="s">
        <v>110</v>
      </c>
      <c r="E5" s="6" t="s">
        <v>72</v>
      </c>
      <c r="F5" s="9" t="s">
        <v>73</v>
      </c>
      <c r="G5" s="15">
        <v>2</v>
      </c>
      <c r="H5" s="7" t="s">
        <v>111</v>
      </c>
      <c r="I5" s="8" t="s">
        <v>112</v>
      </c>
      <c r="J5" s="8" t="s">
        <v>113</v>
      </c>
      <c r="K5" s="8" t="s">
        <v>114</v>
      </c>
      <c r="L5" s="1"/>
    </row>
    <row r="6" spans="1:12" ht="70.150000000000006" customHeight="1" x14ac:dyDescent="0.35">
      <c r="A6" s="16" t="s">
        <v>115</v>
      </c>
      <c r="B6" s="5" t="s">
        <v>116</v>
      </c>
      <c r="C6" s="6" t="s">
        <v>117</v>
      </c>
      <c r="D6" s="6" t="s">
        <v>118</v>
      </c>
      <c r="E6" s="9" t="s">
        <v>119</v>
      </c>
      <c r="F6" s="9" t="s">
        <v>120</v>
      </c>
      <c r="G6" s="15">
        <v>3</v>
      </c>
      <c r="H6" s="7" t="s">
        <v>121</v>
      </c>
      <c r="I6" s="10" t="s">
        <v>122</v>
      </c>
      <c r="J6" s="10" t="s">
        <v>123</v>
      </c>
      <c r="K6" s="10" t="s">
        <v>124</v>
      </c>
      <c r="L6" s="1"/>
    </row>
    <row r="7" spans="1:12" ht="70.150000000000006" customHeight="1" x14ac:dyDescent="0.35">
      <c r="A7" s="16" t="s">
        <v>125</v>
      </c>
      <c r="B7" s="6" t="s">
        <v>126</v>
      </c>
      <c r="C7" s="6" t="s">
        <v>127</v>
      </c>
      <c r="D7" s="9" t="s">
        <v>128</v>
      </c>
      <c r="E7" s="9" t="s">
        <v>129</v>
      </c>
      <c r="F7" s="9" t="s">
        <v>130</v>
      </c>
      <c r="G7" s="15">
        <v>4</v>
      </c>
      <c r="H7" s="7" t="s">
        <v>131</v>
      </c>
      <c r="I7" s="10" t="s">
        <v>132</v>
      </c>
      <c r="J7" s="10" t="s">
        <v>133</v>
      </c>
      <c r="K7" s="10" t="s">
        <v>134</v>
      </c>
      <c r="L7" s="1"/>
    </row>
    <row r="8" spans="1:12" ht="70.150000000000006" customHeight="1" x14ac:dyDescent="0.35">
      <c r="A8" s="16" t="s">
        <v>135</v>
      </c>
      <c r="B8" s="6" t="s">
        <v>136</v>
      </c>
      <c r="C8" s="9" t="s">
        <v>137</v>
      </c>
      <c r="D8" s="9" t="s">
        <v>138</v>
      </c>
      <c r="E8" s="9" t="s">
        <v>139</v>
      </c>
      <c r="F8" s="9" t="s">
        <v>140</v>
      </c>
      <c r="G8" s="15">
        <v>5</v>
      </c>
      <c r="H8" s="7" t="s">
        <v>141</v>
      </c>
      <c r="I8" s="8" t="s">
        <v>142</v>
      </c>
      <c r="J8" s="8" t="s">
        <v>143</v>
      </c>
      <c r="K8" s="8" t="s">
        <v>144</v>
      </c>
      <c r="L8" s="1"/>
    </row>
    <row r="9" spans="1:12" ht="21" customHeight="1" x14ac:dyDescent="0.35">
      <c r="B9" s="15" t="s">
        <v>145</v>
      </c>
      <c r="C9" s="15" t="s">
        <v>33</v>
      </c>
      <c r="D9" s="15" t="s">
        <v>34</v>
      </c>
      <c r="E9" s="15" t="s">
        <v>37</v>
      </c>
      <c r="F9" s="15" t="s">
        <v>39</v>
      </c>
      <c r="G9" s="14"/>
      <c r="H9" s="7"/>
      <c r="I9" s="13"/>
      <c r="J9" s="13"/>
      <c r="K9" s="13"/>
      <c r="L9" s="1"/>
    </row>
    <row r="10" spans="1:12" ht="70.150000000000006" customHeight="1" x14ac:dyDescent="0.35">
      <c r="B10" s="11" t="s">
        <v>639</v>
      </c>
      <c r="C10" s="11" t="s">
        <v>640</v>
      </c>
      <c r="D10" s="11" t="s">
        <v>641</v>
      </c>
      <c r="E10" s="11" t="s">
        <v>642</v>
      </c>
      <c r="F10" s="11" t="s">
        <v>643</v>
      </c>
      <c r="G10" s="11"/>
      <c r="H10" s="7" t="s">
        <v>644</v>
      </c>
      <c r="I10" s="16" t="s">
        <v>146</v>
      </c>
      <c r="J10" s="16" t="s">
        <v>147</v>
      </c>
      <c r="K10" s="16" t="s">
        <v>148</v>
      </c>
      <c r="L10" s="1"/>
    </row>
    <row r="11" spans="1:12" ht="174.65" customHeight="1" x14ac:dyDescent="0.35">
      <c r="B11" s="17" t="s">
        <v>149</v>
      </c>
      <c r="C11" s="17" t="s">
        <v>150</v>
      </c>
      <c r="D11" s="17" t="s">
        <v>151</v>
      </c>
      <c r="E11" s="17" t="s">
        <v>152</v>
      </c>
      <c r="F11" s="17" t="s">
        <v>153</v>
      </c>
      <c r="G11" s="17"/>
      <c r="H11" s="18" t="s">
        <v>154</v>
      </c>
      <c r="J11" s="1"/>
      <c r="K11" s="1"/>
      <c r="L11" s="1"/>
    </row>
    <row r="12" spans="1:12" ht="18" customHeight="1" x14ac:dyDescent="0.35">
      <c r="F12" s="12"/>
      <c r="G12" s="12"/>
      <c r="H12" s="12"/>
      <c r="J12" s="1"/>
      <c r="K12" s="1"/>
      <c r="L12" s="1"/>
    </row>
    <row r="19" spans="10:18" s="1" customFormat="1" hidden="1" x14ac:dyDescent="0.35">
      <c r="J19" s="2"/>
      <c r="K19" s="2"/>
      <c r="L19" s="2"/>
      <c r="M19" s="2"/>
      <c r="N19" s="2"/>
      <c r="O19" s="2"/>
      <c r="P19" s="2"/>
      <c r="Q19" s="2"/>
      <c r="R19" s="2"/>
    </row>
    <row r="20" spans="10:18" s="1" customFormat="1" hidden="1" x14ac:dyDescent="0.35">
      <c r="J20" s="2"/>
      <c r="K20" s="2"/>
      <c r="L20" s="2"/>
      <c r="M20" s="2"/>
      <c r="N20" s="2"/>
      <c r="O20" s="2"/>
      <c r="P20" s="2"/>
      <c r="Q20" s="2"/>
      <c r="R20" s="2"/>
    </row>
    <row r="21" spans="10:18" s="1" customFormat="1" hidden="1" x14ac:dyDescent="0.35">
      <c r="J21" s="2"/>
      <c r="K21" s="2"/>
      <c r="L21" s="2"/>
      <c r="M21" s="2"/>
      <c r="N21" s="2"/>
      <c r="O21" s="2"/>
      <c r="P21" s="2"/>
      <c r="Q21" s="2"/>
      <c r="R21" s="2"/>
    </row>
    <row r="22" spans="10:18" s="1" customFormat="1" hidden="1" x14ac:dyDescent="0.35">
      <c r="J22" s="2"/>
      <c r="K22" s="2"/>
      <c r="L22" s="2"/>
      <c r="M22" s="2"/>
      <c r="N22" s="2"/>
      <c r="O22" s="2"/>
      <c r="P22" s="2"/>
      <c r="Q22" s="2"/>
      <c r="R22" s="2"/>
    </row>
    <row r="23" spans="10:18" s="1" customFormat="1" hidden="1" x14ac:dyDescent="0.35">
      <c r="J23" s="2"/>
      <c r="K23" s="2"/>
      <c r="L23" s="2"/>
      <c r="M23" s="2"/>
      <c r="N23" s="2"/>
      <c r="O23" s="2"/>
      <c r="P23" s="2"/>
      <c r="Q23" s="2"/>
      <c r="R23" s="2"/>
    </row>
    <row r="24" spans="10:18" s="1" customFormat="1" hidden="1" x14ac:dyDescent="0.35">
      <c r="J24" s="2"/>
      <c r="K24" s="2"/>
      <c r="L24" s="2"/>
      <c r="M24" s="2"/>
      <c r="N24" s="2"/>
      <c r="O24" s="2"/>
      <c r="P24" s="2"/>
      <c r="Q24" s="2"/>
      <c r="R24" s="2"/>
    </row>
    <row r="1048576" ht="11.15" hidden="1" customHeight="1" x14ac:dyDescent="0.35"/>
  </sheetData>
  <mergeCells count="1">
    <mergeCell ref="B2:F2"/>
  </mergeCells>
  <pageMargins left="0.25" right="0.25" top="0.75" bottom="0.75" header="0.3" footer="0.3"/>
  <pageSetup paperSize="9" scale="65" fitToHeight="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1:R81"/>
  <sheetViews>
    <sheetView showGridLines="0" view="pageBreakPreview" topLeftCell="C73" zoomScale="115" zoomScaleNormal="100" zoomScaleSheetLayoutView="115" workbookViewId="0">
      <selection activeCell="D34" sqref="D34"/>
    </sheetView>
  </sheetViews>
  <sheetFormatPr baseColWidth="10" defaultColWidth="8.7265625" defaultRowHeight="11.5" x14ac:dyDescent="0.25"/>
  <cols>
    <col min="1" max="1" width="31.26953125" style="26" customWidth="1"/>
    <col min="2" max="2" width="13.453125" style="26" customWidth="1"/>
    <col min="3" max="4" width="30.453125" style="33" customWidth="1"/>
    <col min="5" max="5" width="27.7265625" style="26" customWidth="1"/>
    <col min="6" max="6" width="59" style="26" customWidth="1"/>
    <col min="7" max="7" width="17.453125" style="26" customWidth="1"/>
    <col min="8" max="257" width="8.7265625" style="26"/>
    <col min="258" max="258" width="22.453125" style="26" customWidth="1"/>
    <col min="259" max="259" width="8.54296875" style="26" customWidth="1"/>
    <col min="260" max="261" width="22.7265625" style="26" customWidth="1"/>
    <col min="262" max="262" width="47.54296875" style="26" customWidth="1"/>
    <col min="263" max="263" width="12.453125" style="26" customWidth="1"/>
    <col min="264" max="513" width="8.7265625" style="26"/>
    <col min="514" max="514" width="22.453125" style="26" customWidth="1"/>
    <col min="515" max="515" width="8.54296875" style="26" customWidth="1"/>
    <col min="516" max="517" width="22.7265625" style="26" customWidth="1"/>
    <col min="518" max="518" width="47.54296875" style="26" customWidth="1"/>
    <col min="519" max="519" width="12.453125" style="26" customWidth="1"/>
    <col min="520" max="769" width="8.7265625" style="26"/>
    <col min="770" max="770" width="22.453125" style="26" customWidth="1"/>
    <col min="771" max="771" width="8.54296875" style="26" customWidth="1"/>
    <col min="772" max="773" width="22.7265625" style="26" customWidth="1"/>
    <col min="774" max="774" width="47.54296875" style="26" customWidth="1"/>
    <col min="775" max="775" width="12.453125" style="26" customWidth="1"/>
    <col min="776" max="1025" width="8.7265625" style="26"/>
    <col min="1026" max="1026" width="22.453125" style="26" customWidth="1"/>
    <col min="1027" max="1027" width="8.54296875" style="26" customWidth="1"/>
    <col min="1028" max="1029" width="22.7265625" style="26" customWidth="1"/>
    <col min="1030" max="1030" width="47.54296875" style="26" customWidth="1"/>
    <col min="1031" max="1031" width="12.453125" style="26" customWidth="1"/>
    <col min="1032" max="1281" width="8.7265625" style="26"/>
    <col min="1282" max="1282" width="22.453125" style="26" customWidth="1"/>
    <col min="1283" max="1283" width="8.54296875" style="26" customWidth="1"/>
    <col min="1284" max="1285" width="22.7265625" style="26" customWidth="1"/>
    <col min="1286" max="1286" width="47.54296875" style="26" customWidth="1"/>
    <col min="1287" max="1287" width="12.453125" style="26" customWidth="1"/>
    <col min="1288" max="1537" width="8.7265625" style="26"/>
    <col min="1538" max="1538" width="22.453125" style="26" customWidth="1"/>
    <col min="1539" max="1539" width="8.54296875" style="26" customWidth="1"/>
    <col min="1540" max="1541" width="22.7265625" style="26" customWidth="1"/>
    <col min="1542" max="1542" width="47.54296875" style="26" customWidth="1"/>
    <col min="1543" max="1543" width="12.453125" style="26" customWidth="1"/>
    <col min="1544" max="1793" width="8.7265625" style="26"/>
    <col min="1794" max="1794" width="22.453125" style="26" customWidth="1"/>
    <col min="1795" max="1795" width="8.54296875" style="26" customWidth="1"/>
    <col min="1796" max="1797" width="22.7265625" style="26" customWidth="1"/>
    <col min="1798" max="1798" width="47.54296875" style="26" customWidth="1"/>
    <col min="1799" max="1799" width="12.453125" style="26" customWidth="1"/>
    <col min="1800" max="2049" width="8.7265625" style="26"/>
    <col min="2050" max="2050" width="22.453125" style="26" customWidth="1"/>
    <col min="2051" max="2051" width="8.54296875" style="26" customWidth="1"/>
    <col min="2052" max="2053" width="22.7265625" style="26" customWidth="1"/>
    <col min="2054" max="2054" width="47.54296875" style="26" customWidth="1"/>
    <col min="2055" max="2055" width="12.453125" style="26" customWidth="1"/>
    <col min="2056" max="2305" width="8.7265625" style="26"/>
    <col min="2306" max="2306" width="22.453125" style="26" customWidth="1"/>
    <col min="2307" max="2307" width="8.54296875" style="26" customWidth="1"/>
    <col min="2308" max="2309" width="22.7265625" style="26" customWidth="1"/>
    <col min="2310" max="2310" width="47.54296875" style="26" customWidth="1"/>
    <col min="2311" max="2311" width="12.453125" style="26" customWidth="1"/>
    <col min="2312" max="2561" width="8.7265625" style="26"/>
    <col min="2562" max="2562" width="22.453125" style="26" customWidth="1"/>
    <col min="2563" max="2563" width="8.54296875" style="26" customWidth="1"/>
    <col min="2564" max="2565" width="22.7265625" style="26" customWidth="1"/>
    <col min="2566" max="2566" width="47.54296875" style="26" customWidth="1"/>
    <col min="2567" max="2567" width="12.453125" style="26" customWidth="1"/>
    <col min="2568" max="2817" width="8.7265625" style="26"/>
    <col min="2818" max="2818" width="22.453125" style="26" customWidth="1"/>
    <col min="2819" max="2819" width="8.54296875" style="26" customWidth="1"/>
    <col min="2820" max="2821" width="22.7265625" style="26" customWidth="1"/>
    <col min="2822" max="2822" width="47.54296875" style="26" customWidth="1"/>
    <col min="2823" max="2823" width="12.453125" style="26" customWidth="1"/>
    <col min="2824" max="3073" width="8.7265625" style="26"/>
    <col min="3074" max="3074" width="22.453125" style="26" customWidth="1"/>
    <col min="3075" max="3075" width="8.54296875" style="26" customWidth="1"/>
    <col min="3076" max="3077" width="22.7265625" style="26" customWidth="1"/>
    <col min="3078" max="3078" width="47.54296875" style="26" customWidth="1"/>
    <col min="3079" max="3079" width="12.453125" style="26" customWidth="1"/>
    <col min="3080" max="3329" width="8.7265625" style="26"/>
    <col min="3330" max="3330" width="22.453125" style="26" customWidth="1"/>
    <col min="3331" max="3331" width="8.54296875" style="26" customWidth="1"/>
    <col min="3332" max="3333" width="22.7265625" style="26" customWidth="1"/>
    <col min="3334" max="3334" width="47.54296875" style="26" customWidth="1"/>
    <col min="3335" max="3335" width="12.453125" style="26" customWidth="1"/>
    <col min="3336" max="3585" width="8.7265625" style="26"/>
    <col min="3586" max="3586" width="22.453125" style="26" customWidth="1"/>
    <col min="3587" max="3587" width="8.54296875" style="26" customWidth="1"/>
    <col min="3588" max="3589" width="22.7265625" style="26" customWidth="1"/>
    <col min="3590" max="3590" width="47.54296875" style="26" customWidth="1"/>
    <col min="3591" max="3591" width="12.453125" style="26" customWidth="1"/>
    <col min="3592" max="3841" width="8.7265625" style="26"/>
    <col min="3842" max="3842" width="22.453125" style="26" customWidth="1"/>
    <col min="3843" max="3843" width="8.54296875" style="26" customWidth="1"/>
    <col min="3844" max="3845" width="22.7265625" style="26" customWidth="1"/>
    <col min="3846" max="3846" width="47.54296875" style="26" customWidth="1"/>
    <col min="3847" max="3847" width="12.453125" style="26" customWidth="1"/>
    <col min="3848" max="4097" width="8.7265625" style="26"/>
    <col min="4098" max="4098" width="22.453125" style="26" customWidth="1"/>
    <col min="4099" max="4099" width="8.54296875" style="26" customWidth="1"/>
    <col min="4100" max="4101" width="22.7265625" style="26" customWidth="1"/>
    <col min="4102" max="4102" width="47.54296875" style="26" customWidth="1"/>
    <col min="4103" max="4103" width="12.453125" style="26" customWidth="1"/>
    <col min="4104" max="4353" width="8.7265625" style="26"/>
    <col min="4354" max="4354" width="22.453125" style="26" customWidth="1"/>
    <col min="4355" max="4355" width="8.54296875" style="26" customWidth="1"/>
    <col min="4356" max="4357" width="22.7265625" style="26" customWidth="1"/>
    <col min="4358" max="4358" width="47.54296875" style="26" customWidth="1"/>
    <col min="4359" max="4359" width="12.453125" style="26" customWidth="1"/>
    <col min="4360" max="4609" width="8.7265625" style="26"/>
    <col min="4610" max="4610" width="22.453125" style="26" customWidth="1"/>
    <col min="4611" max="4611" width="8.54296875" style="26" customWidth="1"/>
    <col min="4612" max="4613" width="22.7265625" style="26" customWidth="1"/>
    <col min="4614" max="4614" width="47.54296875" style="26" customWidth="1"/>
    <col min="4615" max="4615" width="12.453125" style="26" customWidth="1"/>
    <col min="4616" max="4865" width="8.7265625" style="26"/>
    <col min="4866" max="4866" width="22.453125" style="26" customWidth="1"/>
    <col min="4867" max="4867" width="8.54296875" style="26" customWidth="1"/>
    <col min="4868" max="4869" width="22.7265625" style="26" customWidth="1"/>
    <col min="4870" max="4870" width="47.54296875" style="26" customWidth="1"/>
    <col min="4871" max="4871" width="12.453125" style="26" customWidth="1"/>
    <col min="4872" max="5121" width="8.7265625" style="26"/>
    <col min="5122" max="5122" width="22.453125" style="26" customWidth="1"/>
    <col min="5123" max="5123" width="8.54296875" style="26" customWidth="1"/>
    <col min="5124" max="5125" width="22.7265625" style="26" customWidth="1"/>
    <col min="5126" max="5126" width="47.54296875" style="26" customWidth="1"/>
    <col min="5127" max="5127" width="12.453125" style="26" customWidth="1"/>
    <col min="5128" max="5377" width="8.7265625" style="26"/>
    <col min="5378" max="5378" width="22.453125" style="26" customWidth="1"/>
    <col min="5379" max="5379" width="8.54296875" style="26" customWidth="1"/>
    <col min="5380" max="5381" width="22.7265625" style="26" customWidth="1"/>
    <col min="5382" max="5382" width="47.54296875" style="26" customWidth="1"/>
    <col min="5383" max="5383" width="12.453125" style="26" customWidth="1"/>
    <col min="5384" max="5633" width="8.7265625" style="26"/>
    <col min="5634" max="5634" width="22.453125" style="26" customWidth="1"/>
    <col min="5635" max="5635" width="8.54296875" style="26" customWidth="1"/>
    <col min="5636" max="5637" width="22.7265625" style="26" customWidth="1"/>
    <col min="5638" max="5638" width="47.54296875" style="26" customWidth="1"/>
    <col min="5639" max="5639" width="12.453125" style="26" customWidth="1"/>
    <col min="5640" max="5889" width="8.7265625" style="26"/>
    <col min="5890" max="5890" width="22.453125" style="26" customWidth="1"/>
    <col min="5891" max="5891" width="8.54296875" style="26" customWidth="1"/>
    <col min="5892" max="5893" width="22.7265625" style="26" customWidth="1"/>
    <col min="5894" max="5894" width="47.54296875" style="26" customWidth="1"/>
    <col min="5895" max="5895" width="12.453125" style="26" customWidth="1"/>
    <col min="5896" max="6145" width="8.7265625" style="26"/>
    <col min="6146" max="6146" width="22.453125" style="26" customWidth="1"/>
    <col min="6147" max="6147" width="8.54296875" style="26" customWidth="1"/>
    <col min="6148" max="6149" width="22.7265625" style="26" customWidth="1"/>
    <col min="6150" max="6150" width="47.54296875" style="26" customWidth="1"/>
    <col min="6151" max="6151" width="12.453125" style="26" customWidth="1"/>
    <col min="6152" max="6401" width="8.7265625" style="26"/>
    <col min="6402" max="6402" width="22.453125" style="26" customWidth="1"/>
    <col min="6403" max="6403" width="8.54296875" style="26" customWidth="1"/>
    <col min="6404" max="6405" width="22.7265625" style="26" customWidth="1"/>
    <col min="6406" max="6406" width="47.54296875" style="26" customWidth="1"/>
    <col min="6407" max="6407" width="12.453125" style="26" customWidth="1"/>
    <col min="6408" max="6657" width="8.7265625" style="26"/>
    <col min="6658" max="6658" width="22.453125" style="26" customWidth="1"/>
    <col min="6659" max="6659" width="8.54296875" style="26" customWidth="1"/>
    <col min="6660" max="6661" width="22.7265625" style="26" customWidth="1"/>
    <col min="6662" max="6662" width="47.54296875" style="26" customWidth="1"/>
    <col min="6663" max="6663" width="12.453125" style="26" customWidth="1"/>
    <col min="6664" max="6913" width="8.7265625" style="26"/>
    <col min="6914" max="6914" width="22.453125" style="26" customWidth="1"/>
    <col min="6915" max="6915" width="8.54296875" style="26" customWidth="1"/>
    <col min="6916" max="6917" width="22.7265625" style="26" customWidth="1"/>
    <col min="6918" max="6918" width="47.54296875" style="26" customWidth="1"/>
    <col min="6919" max="6919" width="12.453125" style="26" customWidth="1"/>
    <col min="6920" max="7169" width="8.7265625" style="26"/>
    <col min="7170" max="7170" width="22.453125" style="26" customWidth="1"/>
    <col min="7171" max="7171" width="8.54296875" style="26" customWidth="1"/>
    <col min="7172" max="7173" width="22.7265625" style="26" customWidth="1"/>
    <col min="7174" max="7174" width="47.54296875" style="26" customWidth="1"/>
    <col min="7175" max="7175" width="12.453125" style="26" customWidth="1"/>
    <col min="7176" max="7425" width="8.7265625" style="26"/>
    <col min="7426" max="7426" width="22.453125" style="26" customWidth="1"/>
    <col min="7427" max="7427" width="8.54296875" style="26" customWidth="1"/>
    <col min="7428" max="7429" width="22.7265625" style="26" customWidth="1"/>
    <col min="7430" max="7430" width="47.54296875" style="26" customWidth="1"/>
    <col min="7431" max="7431" width="12.453125" style="26" customWidth="1"/>
    <col min="7432" max="7681" width="8.7265625" style="26"/>
    <col min="7682" max="7682" width="22.453125" style="26" customWidth="1"/>
    <col min="7683" max="7683" width="8.54296875" style="26" customWidth="1"/>
    <col min="7684" max="7685" width="22.7265625" style="26" customWidth="1"/>
    <col min="7686" max="7686" width="47.54296875" style="26" customWidth="1"/>
    <col min="7687" max="7687" width="12.453125" style="26" customWidth="1"/>
    <col min="7688" max="7937" width="8.7265625" style="26"/>
    <col min="7938" max="7938" width="22.453125" style="26" customWidth="1"/>
    <col min="7939" max="7939" width="8.54296875" style="26" customWidth="1"/>
    <col min="7940" max="7941" width="22.7265625" style="26" customWidth="1"/>
    <col min="7942" max="7942" width="47.54296875" style="26" customWidth="1"/>
    <col min="7943" max="7943" width="12.453125" style="26" customWidth="1"/>
    <col min="7944" max="8193" width="8.7265625" style="26"/>
    <col min="8194" max="8194" width="22.453125" style="26" customWidth="1"/>
    <col min="8195" max="8195" width="8.54296875" style="26" customWidth="1"/>
    <col min="8196" max="8197" width="22.7265625" style="26" customWidth="1"/>
    <col min="8198" max="8198" width="47.54296875" style="26" customWidth="1"/>
    <col min="8199" max="8199" width="12.453125" style="26" customWidth="1"/>
    <col min="8200" max="8449" width="8.7265625" style="26"/>
    <col min="8450" max="8450" width="22.453125" style="26" customWidth="1"/>
    <col min="8451" max="8451" width="8.54296875" style="26" customWidth="1"/>
    <col min="8452" max="8453" width="22.7265625" style="26" customWidth="1"/>
    <col min="8454" max="8454" width="47.54296875" style="26" customWidth="1"/>
    <col min="8455" max="8455" width="12.453125" style="26" customWidth="1"/>
    <col min="8456" max="8705" width="8.7265625" style="26"/>
    <col min="8706" max="8706" width="22.453125" style="26" customWidth="1"/>
    <col min="8707" max="8707" width="8.54296875" style="26" customWidth="1"/>
    <col min="8708" max="8709" width="22.7265625" style="26" customWidth="1"/>
    <col min="8710" max="8710" width="47.54296875" style="26" customWidth="1"/>
    <col min="8711" max="8711" width="12.453125" style="26" customWidth="1"/>
    <col min="8712" max="8961" width="8.7265625" style="26"/>
    <col min="8962" max="8962" width="22.453125" style="26" customWidth="1"/>
    <col min="8963" max="8963" width="8.54296875" style="26" customWidth="1"/>
    <col min="8964" max="8965" width="22.7265625" style="26" customWidth="1"/>
    <col min="8966" max="8966" width="47.54296875" style="26" customWidth="1"/>
    <col min="8967" max="8967" width="12.453125" style="26" customWidth="1"/>
    <col min="8968" max="9217" width="8.7265625" style="26"/>
    <col min="9218" max="9218" width="22.453125" style="26" customWidth="1"/>
    <col min="9219" max="9219" width="8.54296875" style="26" customWidth="1"/>
    <col min="9220" max="9221" width="22.7265625" style="26" customWidth="1"/>
    <col min="9222" max="9222" width="47.54296875" style="26" customWidth="1"/>
    <col min="9223" max="9223" width="12.453125" style="26" customWidth="1"/>
    <col min="9224" max="9473" width="8.7265625" style="26"/>
    <col min="9474" max="9474" width="22.453125" style="26" customWidth="1"/>
    <col min="9475" max="9475" width="8.54296875" style="26" customWidth="1"/>
    <col min="9476" max="9477" width="22.7265625" style="26" customWidth="1"/>
    <col min="9478" max="9478" width="47.54296875" style="26" customWidth="1"/>
    <col min="9479" max="9479" width="12.453125" style="26" customWidth="1"/>
    <col min="9480" max="9729" width="8.7265625" style="26"/>
    <col min="9730" max="9730" width="22.453125" style="26" customWidth="1"/>
    <col min="9731" max="9731" width="8.54296875" style="26" customWidth="1"/>
    <col min="9732" max="9733" width="22.7265625" style="26" customWidth="1"/>
    <col min="9734" max="9734" width="47.54296875" style="26" customWidth="1"/>
    <col min="9735" max="9735" width="12.453125" style="26" customWidth="1"/>
    <col min="9736" max="9985" width="8.7265625" style="26"/>
    <col min="9986" max="9986" width="22.453125" style="26" customWidth="1"/>
    <col min="9987" max="9987" width="8.54296875" style="26" customWidth="1"/>
    <col min="9988" max="9989" width="22.7265625" style="26" customWidth="1"/>
    <col min="9990" max="9990" width="47.54296875" style="26" customWidth="1"/>
    <col min="9991" max="9991" width="12.453125" style="26" customWidth="1"/>
    <col min="9992" max="10241" width="8.7265625" style="26"/>
    <col min="10242" max="10242" width="22.453125" style="26" customWidth="1"/>
    <col min="10243" max="10243" width="8.54296875" style="26" customWidth="1"/>
    <col min="10244" max="10245" width="22.7265625" style="26" customWidth="1"/>
    <col min="10246" max="10246" width="47.54296875" style="26" customWidth="1"/>
    <col min="10247" max="10247" width="12.453125" style="26" customWidth="1"/>
    <col min="10248" max="10497" width="8.7265625" style="26"/>
    <col min="10498" max="10498" width="22.453125" style="26" customWidth="1"/>
    <col min="10499" max="10499" width="8.54296875" style="26" customWidth="1"/>
    <col min="10500" max="10501" width="22.7265625" style="26" customWidth="1"/>
    <col min="10502" max="10502" width="47.54296875" style="26" customWidth="1"/>
    <col min="10503" max="10503" width="12.453125" style="26" customWidth="1"/>
    <col min="10504" max="10753" width="8.7265625" style="26"/>
    <col min="10754" max="10754" width="22.453125" style="26" customWidth="1"/>
    <col min="10755" max="10755" width="8.54296875" style="26" customWidth="1"/>
    <col min="10756" max="10757" width="22.7265625" style="26" customWidth="1"/>
    <col min="10758" max="10758" width="47.54296875" style="26" customWidth="1"/>
    <col min="10759" max="10759" width="12.453125" style="26" customWidth="1"/>
    <col min="10760" max="11009" width="8.7265625" style="26"/>
    <col min="11010" max="11010" width="22.453125" style="26" customWidth="1"/>
    <col min="11011" max="11011" width="8.54296875" style="26" customWidth="1"/>
    <col min="11012" max="11013" width="22.7265625" style="26" customWidth="1"/>
    <col min="11014" max="11014" width="47.54296875" style="26" customWidth="1"/>
    <col min="11015" max="11015" width="12.453125" style="26" customWidth="1"/>
    <col min="11016" max="11265" width="8.7265625" style="26"/>
    <col min="11266" max="11266" width="22.453125" style="26" customWidth="1"/>
    <col min="11267" max="11267" width="8.54296875" style="26" customWidth="1"/>
    <col min="11268" max="11269" width="22.7265625" style="26" customWidth="1"/>
    <col min="11270" max="11270" width="47.54296875" style="26" customWidth="1"/>
    <col min="11271" max="11271" width="12.453125" style="26" customWidth="1"/>
    <col min="11272" max="11521" width="8.7265625" style="26"/>
    <col min="11522" max="11522" width="22.453125" style="26" customWidth="1"/>
    <col min="11523" max="11523" width="8.54296875" style="26" customWidth="1"/>
    <col min="11524" max="11525" width="22.7265625" style="26" customWidth="1"/>
    <col min="11526" max="11526" width="47.54296875" style="26" customWidth="1"/>
    <col min="11527" max="11527" width="12.453125" style="26" customWidth="1"/>
    <col min="11528" max="11777" width="8.7265625" style="26"/>
    <col min="11778" max="11778" width="22.453125" style="26" customWidth="1"/>
    <col min="11779" max="11779" width="8.54296875" style="26" customWidth="1"/>
    <col min="11780" max="11781" width="22.7265625" style="26" customWidth="1"/>
    <col min="11782" max="11782" width="47.54296875" style="26" customWidth="1"/>
    <col min="11783" max="11783" width="12.453125" style="26" customWidth="1"/>
    <col min="11784" max="12033" width="8.7265625" style="26"/>
    <col min="12034" max="12034" width="22.453125" style="26" customWidth="1"/>
    <col min="12035" max="12035" width="8.54296875" style="26" customWidth="1"/>
    <col min="12036" max="12037" width="22.7265625" style="26" customWidth="1"/>
    <col min="12038" max="12038" width="47.54296875" style="26" customWidth="1"/>
    <col min="12039" max="12039" width="12.453125" style="26" customWidth="1"/>
    <col min="12040" max="12289" width="8.7265625" style="26"/>
    <col min="12290" max="12290" width="22.453125" style="26" customWidth="1"/>
    <col min="12291" max="12291" width="8.54296875" style="26" customWidth="1"/>
    <col min="12292" max="12293" width="22.7265625" style="26" customWidth="1"/>
    <col min="12294" max="12294" width="47.54296875" style="26" customWidth="1"/>
    <col min="12295" max="12295" width="12.453125" style="26" customWidth="1"/>
    <col min="12296" max="12545" width="8.7265625" style="26"/>
    <col min="12546" max="12546" width="22.453125" style="26" customWidth="1"/>
    <col min="12547" max="12547" width="8.54296875" style="26" customWidth="1"/>
    <col min="12548" max="12549" width="22.7265625" style="26" customWidth="1"/>
    <col min="12550" max="12550" width="47.54296875" style="26" customWidth="1"/>
    <col min="12551" max="12551" width="12.453125" style="26" customWidth="1"/>
    <col min="12552" max="12801" width="8.7265625" style="26"/>
    <col min="12802" max="12802" width="22.453125" style="26" customWidth="1"/>
    <col min="12803" max="12803" width="8.54296875" style="26" customWidth="1"/>
    <col min="12804" max="12805" width="22.7265625" style="26" customWidth="1"/>
    <col min="12806" max="12806" width="47.54296875" style="26" customWidth="1"/>
    <col min="12807" max="12807" width="12.453125" style="26" customWidth="1"/>
    <col min="12808" max="13057" width="8.7265625" style="26"/>
    <col min="13058" max="13058" width="22.453125" style="26" customWidth="1"/>
    <col min="13059" max="13059" width="8.54296875" style="26" customWidth="1"/>
    <col min="13060" max="13061" width="22.7265625" style="26" customWidth="1"/>
    <col min="13062" max="13062" width="47.54296875" style="26" customWidth="1"/>
    <col min="13063" max="13063" width="12.453125" style="26" customWidth="1"/>
    <col min="13064" max="13313" width="8.7265625" style="26"/>
    <col min="13314" max="13314" width="22.453125" style="26" customWidth="1"/>
    <col min="13315" max="13315" width="8.54296875" style="26" customWidth="1"/>
    <col min="13316" max="13317" width="22.7265625" style="26" customWidth="1"/>
    <col min="13318" max="13318" width="47.54296875" style="26" customWidth="1"/>
    <col min="13319" max="13319" width="12.453125" style="26" customWidth="1"/>
    <col min="13320" max="13569" width="8.7265625" style="26"/>
    <col min="13570" max="13570" width="22.453125" style="26" customWidth="1"/>
    <col min="13571" max="13571" width="8.54296875" style="26" customWidth="1"/>
    <col min="13572" max="13573" width="22.7265625" style="26" customWidth="1"/>
    <col min="13574" max="13574" width="47.54296875" style="26" customWidth="1"/>
    <col min="13575" max="13575" width="12.453125" style="26" customWidth="1"/>
    <col min="13576" max="13825" width="8.7265625" style="26"/>
    <col min="13826" max="13826" width="22.453125" style="26" customWidth="1"/>
    <col min="13827" max="13827" width="8.54296875" style="26" customWidth="1"/>
    <col min="13828" max="13829" width="22.7265625" style="26" customWidth="1"/>
    <col min="13830" max="13830" width="47.54296875" style="26" customWidth="1"/>
    <col min="13831" max="13831" width="12.453125" style="26" customWidth="1"/>
    <col min="13832" max="14081" width="8.7265625" style="26"/>
    <col min="14082" max="14082" width="22.453125" style="26" customWidth="1"/>
    <col min="14083" max="14083" width="8.54296875" style="26" customWidth="1"/>
    <col min="14084" max="14085" width="22.7265625" style="26" customWidth="1"/>
    <col min="14086" max="14086" width="47.54296875" style="26" customWidth="1"/>
    <col min="14087" max="14087" width="12.453125" style="26" customWidth="1"/>
    <col min="14088" max="14337" width="8.7265625" style="26"/>
    <col min="14338" max="14338" width="22.453125" style="26" customWidth="1"/>
    <col min="14339" max="14339" width="8.54296875" style="26" customWidth="1"/>
    <col min="14340" max="14341" width="22.7265625" style="26" customWidth="1"/>
    <col min="14342" max="14342" width="47.54296875" style="26" customWidth="1"/>
    <col min="14343" max="14343" width="12.453125" style="26" customWidth="1"/>
    <col min="14344" max="14593" width="8.7265625" style="26"/>
    <col min="14594" max="14594" width="22.453125" style="26" customWidth="1"/>
    <col min="14595" max="14595" width="8.54296875" style="26" customWidth="1"/>
    <col min="14596" max="14597" width="22.7265625" style="26" customWidth="1"/>
    <col min="14598" max="14598" width="47.54296875" style="26" customWidth="1"/>
    <col min="14599" max="14599" width="12.453125" style="26" customWidth="1"/>
    <col min="14600" max="14849" width="8.7265625" style="26"/>
    <col min="14850" max="14850" width="22.453125" style="26" customWidth="1"/>
    <col min="14851" max="14851" width="8.54296875" style="26" customWidth="1"/>
    <col min="14852" max="14853" width="22.7265625" style="26" customWidth="1"/>
    <col min="14854" max="14854" width="47.54296875" style="26" customWidth="1"/>
    <col min="14855" max="14855" width="12.453125" style="26" customWidth="1"/>
    <col min="14856" max="15105" width="8.7265625" style="26"/>
    <col min="15106" max="15106" width="22.453125" style="26" customWidth="1"/>
    <col min="15107" max="15107" width="8.54296875" style="26" customWidth="1"/>
    <col min="15108" max="15109" width="22.7265625" style="26" customWidth="1"/>
    <col min="15110" max="15110" width="47.54296875" style="26" customWidth="1"/>
    <col min="15111" max="15111" width="12.453125" style="26" customWidth="1"/>
    <col min="15112" max="15361" width="8.7265625" style="26"/>
    <col min="15362" max="15362" width="22.453125" style="26" customWidth="1"/>
    <col min="15363" max="15363" width="8.54296875" style="26" customWidth="1"/>
    <col min="15364" max="15365" width="22.7265625" style="26" customWidth="1"/>
    <col min="15366" max="15366" width="47.54296875" style="26" customWidth="1"/>
    <col min="15367" max="15367" width="12.453125" style="26" customWidth="1"/>
    <col min="15368" max="15617" width="8.7265625" style="26"/>
    <col min="15618" max="15618" width="22.453125" style="26" customWidth="1"/>
    <col min="15619" max="15619" width="8.54296875" style="26" customWidth="1"/>
    <col min="15620" max="15621" width="22.7265625" style="26" customWidth="1"/>
    <col min="15622" max="15622" width="47.54296875" style="26" customWidth="1"/>
    <col min="15623" max="15623" width="12.453125" style="26" customWidth="1"/>
    <col min="15624" max="15873" width="8.7265625" style="26"/>
    <col min="15874" max="15874" width="22.453125" style="26" customWidth="1"/>
    <col min="15875" max="15875" width="8.54296875" style="26" customWidth="1"/>
    <col min="15876" max="15877" width="22.7265625" style="26" customWidth="1"/>
    <col min="15878" max="15878" width="47.54296875" style="26" customWidth="1"/>
    <col min="15879" max="15879" width="12.453125" style="26" customWidth="1"/>
    <col min="15880" max="16129" width="8.7265625" style="26"/>
    <col min="16130" max="16130" width="22.453125" style="26" customWidth="1"/>
    <col min="16131" max="16131" width="8.54296875" style="26" customWidth="1"/>
    <col min="16132" max="16133" width="22.7265625" style="26" customWidth="1"/>
    <col min="16134" max="16134" width="47.54296875" style="26" customWidth="1"/>
    <col min="16135" max="16135" width="12.453125" style="26" customWidth="1"/>
    <col min="16136" max="16384" width="8.7265625" style="26"/>
  </cols>
  <sheetData>
    <row r="1" spans="1:18" ht="29.25" customHeight="1" x14ac:dyDescent="0.25">
      <c r="A1" s="327" t="s">
        <v>155</v>
      </c>
      <c r="B1" s="327"/>
      <c r="C1" s="327"/>
      <c r="D1" s="327"/>
      <c r="E1" s="327"/>
      <c r="F1" s="327"/>
      <c r="G1" s="327"/>
      <c r="H1" s="25"/>
      <c r="I1" s="25"/>
      <c r="J1" s="25"/>
      <c r="K1" s="25"/>
      <c r="L1" s="25"/>
      <c r="M1" s="25"/>
      <c r="N1" s="25"/>
      <c r="O1" s="25"/>
      <c r="P1" s="25"/>
      <c r="Q1" s="25"/>
      <c r="R1" s="25"/>
    </row>
    <row r="2" spans="1:18" ht="24.65" customHeight="1" x14ac:dyDescent="0.25">
      <c r="A2" s="34" t="s">
        <v>156</v>
      </c>
      <c r="B2" s="34" t="s">
        <v>157</v>
      </c>
      <c r="C2" s="34" t="s">
        <v>158</v>
      </c>
      <c r="D2" s="49" t="s">
        <v>158</v>
      </c>
      <c r="E2" s="50" t="s">
        <v>159</v>
      </c>
      <c r="F2" s="50" t="s">
        <v>160</v>
      </c>
      <c r="G2" s="51" t="s">
        <v>88</v>
      </c>
      <c r="H2" s="25"/>
      <c r="I2" s="25"/>
      <c r="J2" s="25"/>
      <c r="K2" s="25"/>
      <c r="L2" s="25"/>
      <c r="M2" s="25"/>
      <c r="N2" s="25"/>
      <c r="O2" s="25"/>
      <c r="P2" s="25"/>
      <c r="Q2" s="25"/>
      <c r="R2" s="25"/>
    </row>
    <row r="3" spans="1:18" ht="12" customHeight="1" x14ac:dyDescent="0.25">
      <c r="A3" s="328" t="s">
        <v>161</v>
      </c>
      <c r="B3" s="27" t="s">
        <v>162</v>
      </c>
      <c r="C3" s="39" t="s">
        <v>58</v>
      </c>
      <c r="D3" s="43" t="str">
        <f>IF(C3="",D2,C3)</f>
        <v>Ruido</v>
      </c>
      <c r="E3" s="35" t="s">
        <v>59</v>
      </c>
      <c r="F3" s="39" t="s">
        <v>163</v>
      </c>
      <c r="G3" s="44" t="s">
        <v>164</v>
      </c>
      <c r="H3" s="25"/>
      <c r="I3" s="25"/>
      <c r="J3" s="25"/>
      <c r="K3" s="25"/>
      <c r="L3" s="25"/>
      <c r="M3" s="25"/>
      <c r="N3" s="25"/>
      <c r="O3" s="25"/>
      <c r="P3" s="25"/>
      <c r="Q3" s="25"/>
      <c r="R3" s="25"/>
    </row>
    <row r="4" spans="1:18" ht="24" customHeight="1" x14ac:dyDescent="0.25">
      <c r="A4" s="329"/>
      <c r="B4" s="27" t="s">
        <v>165</v>
      </c>
      <c r="C4" s="39" t="s">
        <v>42</v>
      </c>
      <c r="D4" s="43" t="str">
        <f t="shared" ref="D4:D68" si="0">IF(C4="",D3,C4)</f>
        <v>Vibración de cuerpo completo</v>
      </c>
      <c r="E4" s="35" t="s">
        <v>43</v>
      </c>
      <c r="F4" s="39" t="s">
        <v>166</v>
      </c>
      <c r="G4" s="44" t="s">
        <v>164</v>
      </c>
      <c r="H4" s="25"/>
      <c r="I4" s="25"/>
      <c r="J4" s="25"/>
      <c r="K4" s="25"/>
      <c r="L4" s="25"/>
      <c r="M4" s="25"/>
      <c r="N4" s="25"/>
      <c r="O4" s="25"/>
      <c r="P4" s="25"/>
      <c r="Q4" s="25"/>
      <c r="R4" s="25"/>
    </row>
    <row r="5" spans="1:18" ht="24" customHeight="1" x14ac:dyDescent="0.25">
      <c r="A5" s="329"/>
      <c r="B5" s="27" t="s">
        <v>167</v>
      </c>
      <c r="C5" s="39" t="s">
        <v>168</v>
      </c>
      <c r="D5" s="43" t="str">
        <f t="shared" si="0"/>
        <v>Vibración mano - brazo</v>
      </c>
      <c r="E5" s="35" t="s">
        <v>169</v>
      </c>
      <c r="F5" s="39" t="s">
        <v>170</v>
      </c>
      <c r="G5" s="44" t="s">
        <v>164</v>
      </c>
      <c r="H5" s="25"/>
      <c r="I5" s="25"/>
      <c r="J5" s="25"/>
      <c r="K5" s="25"/>
      <c r="L5" s="25"/>
      <c r="M5" s="25"/>
      <c r="N5" s="25"/>
      <c r="O5" s="25"/>
      <c r="P5" s="25"/>
      <c r="Q5" s="25"/>
      <c r="R5" s="25"/>
    </row>
    <row r="6" spans="1:18" ht="36" customHeight="1" x14ac:dyDescent="0.25">
      <c r="A6" s="329"/>
      <c r="B6" s="27" t="s">
        <v>171</v>
      </c>
      <c r="C6" s="39" t="s">
        <v>44</v>
      </c>
      <c r="D6" s="43" t="str">
        <f t="shared" si="0"/>
        <v>Radiación ionizante</v>
      </c>
      <c r="E6" s="35" t="s">
        <v>45</v>
      </c>
      <c r="F6" s="39" t="s">
        <v>172</v>
      </c>
      <c r="G6" s="44" t="s">
        <v>173</v>
      </c>
      <c r="H6" s="25"/>
      <c r="I6" s="25"/>
      <c r="J6" s="25"/>
      <c r="K6" s="25"/>
      <c r="L6" s="25"/>
      <c r="M6" s="25"/>
      <c r="N6" s="25"/>
      <c r="O6" s="25"/>
      <c r="P6" s="25"/>
      <c r="Q6" s="25"/>
      <c r="R6" s="25"/>
    </row>
    <row r="7" spans="1:18" ht="24" customHeight="1" x14ac:dyDescent="0.25">
      <c r="A7" s="329"/>
      <c r="B7" s="27" t="s">
        <v>174</v>
      </c>
      <c r="C7" s="39" t="s">
        <v>175</v>
      </c>
      <c r="D7" s="43" t="str">
        <f t="shared" si="0"/>
        <v>Radiaciones no ionizantes (Soldadura, Corte, etc.)</v>
      </c>
      <c r="E7" s="35" t="s">
        <v>45</v>
      </c>
      <c r="F7" s="39" t="s">
        <v>176</v>
      </c>
      <c r="G7" s="44" t="s">
        <v>164</v>
      </c>
      <c r="H7" s="25"/>
      <c r="I7" s="25"/>
      <c r="J7" s="25"/>
      <c r="K7" s="25"/>
      <c r="L7" s="25"/>
      <c r="M7" s="25"/>
      <c r="N7" s="25"/>
      <c r="O7" s="25"/>
      <c r="P7" s="25"/>
      <c r="Q7" s="25"/>
      <c r="R7" s="25"/>
    </row>
    <row r="8" spans="1:18" ht="24" customHeight="1" x14ac:dyDescent="0.25">
      <c r="A8" s="329"/>
      <c r="B8" s="27" t="s">
        <v>177</v>
      </c>
      <c r="C8" s="39" t="s">
        <v>178</v>
      </c>
      <c r="D8" s="43" t="str">
        <f t="shared" si="0"/>
        <v>Iluminación (deficiente o excesiva)</v>
      </c>
      <c r="E8" s="36" t="s">
        <v>179</v>
      </c>
      <c r="F8" s="40" t="s">
        <v>180</v>
      </c>
      <c r="G8" s="44" t="s">
        <v>164</v>
      </c>
      <c r="H8" s="25"/>
      <c r="I8" s="25"/>
      <c r="J8" s="25"/>
      <c r="K8" s="25"/>
      <c r="L8" s="25"/>
      <c r="M8" s="25"/>
      <c r="N8" s="25"/>
      <c r="O8" s="25"/>
      <c r="P8" s="25"/>
      <c r="Q8" s="25"/>
      <c r="R8" s="25"/>
    </row>
    <row r="9" spans="1:18" ht="36" customHeight="1" x14ac:dyDescent="0.25">
      <c r="A9" s="329"/>
      <c r="B9" s="27" t="s">
        <v>181</v>
      </c>
      <c r="C9" s="39" t="s">
        <v>182</v>
      </c>
      <c r="D9" s="43" t="str">
        <f t="shared" si="0"/>
        <v>Radiaciones No Ionizantes (Radiación solar, infrarroja, ultravioleta, etc.)</v>
      </c>
      <c r="E9" s="35" t="s">
        <v>45</v>
      </c>
      <c r="F9" s="39" t="s">
        <v>183</v>
      </c>
      <c r="G9" s="44" t="s">
        <v>164</v>
      </c>
      <c r="H9" s="25"/>
      <c r="I9" s="25"/>
      <c r="J9" s="25"/>
      <c r="K9" s="25"/>
      <c r="L9" s="25"/>
      <c r="M9" s="25"/>
      <c r="N9" s="25"/>
      <c r="O9" s="25"/>
      <c r="P9" s="25"/>
      <c r="Q9" s="25"/>
      <c r="R9" s="25"/>
    </row>
    <row r="10" spans="1:18" ht="24" customHeight="1" x14ac:dyDescent="0.25">
      <c r="A10" s="329"/>
      <c r="B10" s="27" t="s">
        <v>184</v>
      </c>
      <c r="C10" s="39" t="s">
        <v>81</v>
      </c>
      <c r="D10" s="43" t="str">
        <f>IF(C10="",D9,C10)</f>
        <v>Frío
(Temperaturas extremas)</v>
      </c>
      <c r="E10" s="36" t="s">
        <v>185</v>
      </c>
      <c r="F10" s="40" t="s">
        <v>186</v>
      </c>
      <c r="G10" s="44" t="s">
        <v>187</v>
      </c>
      <c r="H10" s="25"/>
      <c r="I10" s="25"/>
      <c r="J10" s="25"/>
      <c r="K10" s="25"/>
      <c r="L10" s="25"/>
      <c r="M10" s="25"/>
      <c r="N10" s="25"/>
      <c r="O10" s="25"/>
      <c r="P10" s="25"/>
      <c r="Q10" s="25"/>
      <c r="R10" s="25"/>
    </row>
    <row r="11" spans="1:18" ht="23" x14ac:dyDescent="0.25">
      <c r="A11" s="329"/>
      <c r="B11" s="27" t="s">
        <v>184</v>
      </c>
      <c r="C11" s="39" t="s">
        <v>48</v>
      </c>
      <c r="D11" s="43" t="str">
        <f t="shared" si="0"/>
        <v>Calor
(Temperaturas extremas)</v>
      </c>
      <c r="E11" s="36" t="s">
        <v>49</v>
      </c>
      <c r="F11" s="40" t="s">
        <v>188</v>
      </c>
      <c r="G11" s="44" t="s">
        <v>187</v>
      </c>
      <c r="H11" s="25"/>
      <c r="I11" s="25"/>
      <c r="J11" s="25"/>
      <c r="K11" s="25"/>
      <c r="L11" s="25"/>
      <c r="M11" s="25"/>
      <c r="N11" s="25"/>
      <c r="O11" s="25"/>
      <c r="P11" s="25"/>
      <c r="Q11" s="25"/>
      <c r="R11" s="25"/>
    </row>
    <row r="12" spans="1:18" ht="43.5" customHeight="1" x14ac:dyDescent="0.25">
      <c r="A12" s="329"/>
      <c r="B12" s="28" t="s">
        <v>189</v>
      </c>
      <c r="C12" s="40" t="s">
        <v>190</v>
      </c>
      <c r="D12" s="43" t="str">
        <f t="shared" si="0"/>
        <v>Presión Atmosférica</v>
      </c>
      <c r="E12" s="36" t="s">
        <v>191</v>
      </c>
      <c r="F12" s="40" t="s">
        <v>192</v>
      </c>
      <c r="G12" s="44" t="s">
        <v>164</v>
      </c>
      <c r="H12" s="25"/>
      <c r="I12" s="25"/>
      <c r="J12" s="25"/>
      <c r="K12" s="25"/>
      <c r="L12" s="25"/>
      <c r="M12" s="25"/>
      <c r="N12" s="25"/>
      <c r="O12" s="25"/>
      <c r="P12" s="25"/>
      <c r="Q12" s="25"/>
      <c r="R12" s="25"/>
    </row>
    <row r="13" spans="1:18" ht="43.5" customHeight="1" x14ac:dyDescent="0.25">
      <c r="A13" s="329"/>
      <c r="B13" s="29" t="s">
        <v>193</v>
      </c>
      <c r="C13" s="41" t="s">
        <v>79</v>
      </c>
      <c r="D13" s="43" t="str">
        <f t="shared" si="0"/>
        <v>Energía Eléctrica</v>
      </c>
      <c r="E13" s="37" t="s">
        <v>80</v>
      </c>
      <c r="F13" s="41" t="s">
        <v>194</v>
      </c>
      <c r="G13" s="45" t="s">
        <v>173</v>
      </c>
      <c r="H13" s="25"/>
      <c r="I13" s="25"/>
      <c r="J13" s="25"/>
      <c r="K13" s="25"/>
      <c r="L13" s="25"/>
      <c r="M13" s="25"/>
      <c r="N13" s="25"/>
      <c r="O13" s="25"/>
      <c r="P13" s="25"/>
      <c r="Q13" s="25"/>
      <c r="R13" s="25"/>
    </row>
    <row r="14" spans="1:18" ht="43.5" customHeight="1" x14ac:dyDescent="0.25">
      <c r="A14" s="330"/>
      <c r="B14" s="28" t="s">
        <v>195</v>
      </c>
      <c r="C14" s="40" t="s">
        <v>196</v>
      </c>
      <c r="D14" s="43" t="str">
        <f t="shared" si="0"/>
        <v>Humedad</v>
      </c>
      <c r="E14" s="36" t="s">
        <v>197</v>
      </c>
      <c r="F14" s="40" t="s">
        <v>198</v>
      </c>
      <c r="G14" s="44" t="s">
        <v>187</v>
      </c>
      <c r="H14" s="25"/>
      <c r="I14" s="25"/>
      <c r="J14" s="25"/>
      <c r="K14" s="25"/>
      <c r="L14" s="25"/>
      <c r="M14" s="25"/>
      <c r="N14" s="25"/>
      <c r="O14" s="25"/>
      <c r="P14" s="25"/>
      <c r="Q14" s="25"/>
      <c r="R14" s="25"/>
    </row>
    <row r="15" spans="1:18" ht="24" customHeight="1" x14ac:dyDescent="0.25">
      <c r="A15" s="326" t="s">
        <v>199</v>
      </c>
      <c r="B15" s="28" t="s">
        <v>200</v>
      </c>
      <c r="C15" s="39" t="s">
        <v>67</v>
      </c>
      <c r="D15" s="43" t="str">
        <f t="shared" si="0"/>
        <v>Polvo (material particulado)</v>
      </c>
      <c r="E15" s="36" t="s">
        <v>53</v>
      </c>
      <c r="F15" s="40" t="s">
        <v>201</v>
      </c>
      <c r="G15" s="44" t="s">
        <v>173</v>
      </c>
      <c r="H15" s="25"/>
      <c r="I15" s="25"/>
      <c r="J15" s="25"/>
      <c r="K15" s="25"/>
      <c r="L15" s="25"/>
      <c r="M15" s="25"/>
      <c r="N15" s="25"/>
      <c r="O15" s="25"/>
      <c r="P15" s="25"/>
      <c r="Q15" s="25"/>
      <c r="R15" s="25"/>
    </row>
    <row r="16" spans="1:18" ht="24" customHeight="1" x14ac:dyDescent="0.25">
      <c r="A16" s="326"/>
      <c r="B16" s="28" t="s">
        <v>202</v>
      </c>
      <c r="C16" s="40" t="s">
        <v>203</v>
      </c>
      <c r="D16" s="43" t="str">
        <f t="shared" si="0"/>
        <v>Humos de soldadura</v>
      </c>
      <c r="E16" s="36" t="s">
        <v>204</v>
      </c>
      <c r="F16" s="40" t="s">
        <v>205</v>
      </c>
      <c r="G16" s="46" t="s">
        <v>173</v>
      </c>
      <c r="H16" s="25"/>
      <c r="I16" s="25"/>
      <c r="J16" s="25"/>
      <c r="K16" s="25"/>
      <c r="L16" s="25"/>
      <c r="M16" s="25"/>
      <c r="N16" s="25"/>
      <c r="O16" s="25"/>
      <c r="P16" s="25"/>
      <c r="Q16" s="25"/>
      <c r="R16" s="25"/>
    </row>
    <row r="17" spans="1:18" ht="36" customHeight="1" x14ac:dyDescent="0.25">
      <c r="A17" s="326"/>
      <c r="B17" s="28" t="s">
        <v>206</v>
      </c>
      <c r="C17" s="40" t="s">
        <v>207</v>
      </c>
      <c r="D17" s="43" t="str">
        <f t="shared" si="0"/>
        <v>Neblina ácida (ácido sulfúrico) / gases tóxicos (ácido clorhídrico, ácido fluorhídrico, ácido nítrico)</v>
      </c>
      <c r="E17" s="36" t="s">
        <v>208</v>
      </c>
      <c r="F17" s="40" t="s">
        <v>209</v>
      </c>
      <c r="G17" s="46" t="s">
        <v>164</v>
      </c>
      <c r="H17" s="25"/>
      <c r="I17" s="25"/>
      <c r="J17" s="25"/>
      <c r="K17" s="25"/>
      <c r="L17" s="25"/>
      <c r="M17" s="25"/>
      <c r="N17" s="25"/>
      <c r="O17" s="25"/>
      <c r="P17" s="25"/>
      <c r="Q17" s="25"/>
      <c r="R17" s="25"/>
    </row>
    <row r="18" spans="1:18" ht="24" customHeight="1" x14ac:dyDescent="0.25">
      <c r="A18" s="326"/>
      <c r="B18" s="28" t="s">
        <v>210</v>
      </c>
      <c r="C18" s="40" t="s">
        <v>211</v>
      </c>
      <c r="D18" s="43" t="str">
        <f t="shared" si="0"/>
        <v>Gases tóxicos (cianuro, H2S)</v>
      </c>
      <c r="E18" s="36" t="s">
        <v>212</v>
      </c>
      <c r="F18" s="40" t="s">
        <v>213</v>
      </c>
      <c r="G18" s="46" t="s">
        <v>173</v>
      </c>
      <c r="H18" s="25"/>
      <c r="I18" s="25"/>
      <c r="J18" s="25"/>
      <c r="K18" s="25"/>
      <c r="L18" s="25"/>
      <c r="M18" s="25"/>
      <c r="N18" s="25"/>
      <c r="O18" s="25"/>
      <c r="P18" s="25"/>
      <c r="Q18" s="25"/>
      <c r="R18" s="25"/>
    </row>
    <row r="19" spans="1:18" ht="24" customHeight="1" x14ac:dyDescent="0.25">
      <c r="A19" s="326"/>
      <c r="B19" s="28" t="s">
        <v>214</v>
      </c>
      <c r="C19" s="40" t="s">
        <v>215</v>
      </c>
      <c r="D19" s="43" t="str">
        <f t="shared" si="0"/>
        <v>Vapores orgánicos volátiles (pintura, solventes)</v>
      </c>
      <c r="E19" s="36" t="s">
        <v>216</v>
      </c>
      <c r="F19" s="40" t="s">
        <v>217</v>
      </c>
      <c r="G19" s="46" t="s">
        <v>187</v>
      </c>
      <c r="H19" s="25"/>
      <c r="I19" s="25"/>
      <c r="J19" s="25"/>
      <c r="K19" s="25"/>
      <c r="L19" s="25"/>
      <c r="M19" s="25"/>
      <c r="N19" s="25"/>
      <c r="O19" s="25"/>
      <c r="P19" s="25"/>
      <c r="Q19" s="25"/>
      <c r="R19" s="25"/>
    </row>
    <row r="20" spans="1:18" ht="15" customHeight="1" x14ac:dyDescent="0.25">
      <c r="A20" s="326"/>
      <c r="B20" s="28" t="s">
        <v>218</v>
      </c>
      <c r="C20" s="40" t="s">
        <v>219</v>
      </c>
      <c r="D20" s="43" t="str">
        <f t="shared" si="0"/>
        <v xml:space="preserve">Plomo </v>
      </c>
      <c r="E20" s="36" t="s">
        <v>220</v>
      </c>
      <c r="F20" s="40" t="s">
        <v>221</v>
      </c>
      <c r="G20" s="46" t="s">
        <v>187</v>
      </c>
      <c r="H20" s="25"/>
      <c r="I20" s="25"/>
      <c r="J20" s="25"/>
      <c r="K20" s="25"/>
      <c r="L20" s="25"/>
      <c r="M20" s="25"/>
      <c r="N20" s="25"/>
      <c r="O20" s="25"/>
      <c r="P20" s="25"/>
      <c r="Q20" s="25"/>
      <c r="R20" s="25"/>
    </row>
    <row r="21" spans="1:18" ht="24" customHeight="1" x14ac:dyDescent="0.25">
      <c r="A21" s="326"/>
      <c r="B21" s="28" t="s">
        <v>222</v>
      </c>
      <c r="C21" s="40" t="s">
        <v>223</v>
      </c>
      <c r="D21" s="43" t="str">
        <f t="shared" si="0"/>
        <v xml:space="preserve">Productos químicos con componentes cancerígenos </v>
      </c>
      <c r="E21" s="36" t="s">
        <v>224</v>
      </c>
      <c r="F21" s="40" t="s">
        <v>225</v>
      </c>
      <c r="G21" s="46" t="s">
        <v>173</v>
      </c>
      <c r="H21" s="25"/>
      <c r="I21" s="25"/>
      <c r="J21" s="25"/>
      <c r="K21" s="25"/>
      <c r="L21" s="25"/>
      <c r="M21" s="25"/>
      <c r="N21" s="25"/>
      <c r="O21" s="25"/>
      <c r="P21" s="25"/>
      <c r="Q21" s="25"/>
      <c r="R21" s="25"/>
    </row>
    <row r="22" spans="1:18" ht="24" customHeight="1" x14ac:dyDescent="0.25">
      <c r="A22" s="326"/>
      <c r="B22" s="28" t="s">
        <v>226</v>
      </c>
      <c r="C22" s="40" t="s">
        <v>227</v>
      </c>
      <c r="D22" s="43" t="str">
        <f t="shared" si="0"/>
        <v xml:space="preserve">Sustancias asfixiantes </v>
      </c>
      <c r="E22" s="36" t="s">
        <v>228</v>
      </c>
      <c r="F22" s="40" t="s">
        <v>229</v>
      </c>
      <c r="G22" s="46" t="s">
        <v>173</v>
      </c>
      <c r="H22" s="25"/>
      <c r="I22" s="25"/>
      <c r="J22" s="25"/>
      <c r="K22" s="25"/>
      <c r="L22" s="25"/>
      <c r="M22" s="25"/>
      <c r="N22" s="25"/>
      <c r="O22" s="25"/>
      <c r="P22" s="25"/>
      <c r="Q22" s="25"/>
      <c r="R22" s="25"/>
    </row>
    <row r="23" spans="1:18" ht="24" customHeight="1" x14ac:dyDescent="0.25">
      <c r="A23" s="326"/>
      <c r="B23" s="28" t="s">
        <v>230</v>
      </c>
      <c r="C23" s="40" t="s">
        <v>231</v>
      </c>
      <c r="D23" s="43" t="str">
        <f t="shared" si="0"/>
        <v>Material Explosivo</v>
      </c>
      <c r="E23" s="36" t="s">
        <v>232</v>
      </c>
      <c r="F23" s="40" t="s">
        <v>233</v>
      </c>
      <c r="G23" s="46" t="s">
        <v>173</v>
      </c>
      <c r="H23" s="25"/>
      <c r="I23" s="25"/>
      <c r="J23" s="25"/>
      <c r="K23" s="25"/>
      <c r="L23" s="25"/>
      <c r="M23" s="25"/>
      <c r="N23" s="25"/>
      <c r="O23" s="25"/>
      <c r="P23" s="25"/>
      <c r="Q23" s="25"/>
      <c r="R23" s="25"/>
    </row>
    <row r="24" spans="1:18" ht="24" customHeight="1" x14ac:dyDescent="0.25">
      <c r="A24" s="326"/>
      <c r="B24" s="28" t="s">
        <v>234</v>
      </c>
      <c r="C24" s="40" t="s">
        <v>235</v>
      </c>
      <c r="D24" s="43" t="str">
        <f t="shared" si="0"/>
        <v>Sustancias corrosivas (cal, NaHS)</v>
      </c>
      <c r="E24" s="36" t="s">
        <v>236</v>
      </c>
      <c r="F24" s="40" t="s">
        <v>237</v>
      </c>
      <c r="G24" s="46" t="s">
        <v>164</v>
      </c>
      <c r="H24" s="25"/>
      <c r="I24" s="25"/>
      <c r="J24" s="25"/>
      <c r="K24" s="25"/>
      <c r="L24" s="25"/>
      <c r="M24" s="25"/>
      <c r="N24" s="25"/>
      <c r="O24" s="25"/>
      <c r="P24" s="25"/>
      <c r="Q24" s="25"/>
      <c r="R24" s="25"/>
    </row>
    <row r="25" spans="1:18" ht="24" customHeight="1" x14ac:dyDescent="0.25">
      <c r="A25" s="326"/>
      <c r="B25" s="28" t="s">
        <v>238</v>
      </c>
      <c r="C25" s="40" t="s">
        <v>239</v>
      </c>
      <c r="D25" s="43" t="str">
        <f t="shared" si="0"/>
        <v>Líquidos o materiales inflamables</v>
      </c>
      <c r="E25" s="36" t="s">
        <v>240</v>
      </c>
      <c r="F25" s="40" t="s">
        <v>241</v>
      </c>
      <c r="G25" s="46" t="s">
        <v>164</v>
      </c>
      <c r="H25" s="25"/>
      <c r="I25" s="25"/>
      <c r="J25" s="25"/>
      <c r="K25" s="25"/>
      <c r="L25" s="25"/>
      <c r="M25" s="25"/>
      <c r="N25" s="25"/>
      <c r="O25" s="25"/>
      <c r="P25" s="25"/>
      <c r="Q25" s="25"/>
      <c r="R25" s="25"/>
    </row>
    <row r="26" spans="1:18" ht="24" customHeight="1" x14ac:dyDescent="0.25">
      <c r="A26" s="326"/>
      <c r="B26" s="28" t="s">
        <v>242</v>
      </c>
      <c r="C26" s="40" t="s">
        <v>243</v>
      </c>
      <c r="D26" s="43" t="str">
        <f t="shared" si="0"/>
        <v>Gases de combustión de máquinas</v>
      </c>
      <c r="E26" s="36" t="s">
        <v>244</v>
      </c>
      <c r="F26" s="40" t="s">
        <v>245</v>
      </c>
      <c r="G26" s="46" t="s">
        <v>173</v>
      </c>
      <c r="H26" s="25"/>
      <c r="I26" s="25"/>
      <c r="J26" s="25"/>
      <c r="K26" s="25"/>
      <c r="L26" s="25"/>
      <c r="M26" s="25"/>
      <c r="N26" s="25"/>
      <c r="O26" s="25"/>
      <c r="P26" s="25"/>
      <c r="Q26" s="25"/>
      <c r="R26" s="25"/>
    </row>
    <row r="27" spans="1:18" ht="34.15" customHeight="1" x14ac:dyDescent="0.25">
      <c r="A27" s="326"/>
      <c r="B27" s="28" t="s">
        <v>246</v>
      </c>
      <c r="C27" s="39" t="s">
        <v>247</v>
      </c>
      <c r="D27" s="43" t="str">
        <f t="shared" si="0"/>
        <v>Gases comprimidos (oxigeno, acetileno, gas propano, nitrógeno y otros)</v>
      </c>
      <c r="E27" s="35" t="s">
        <v>248</v>
      </c>
      <c r="F27" s="39" t="s">
        <v>249</v>
      </c>
      <c r="G27" s="46" t="s">
        <v>164</v>
      </c>
      <c r="H27" s="25"/>
      <c r="I27" s="25"/>
      <c r="J27" s="25"/>
      <c r="K27" s="25"/>
      <c r="L27" s="25"/>
      <c r="M27" s="25"/>
      <c r="N27" s="25"/>
      <c r="O27" s="25"/>
      <c r="P27" s="25"/>
      <c r="Q27" s="25"/>
      <c r="R27" s="25"/>
    </row>
    <row r="28" spans="1:18" ht="36" customHeight="1" x14ac:dyDescent="0.25">
      <c r="A28" s="326" t="s">
        <v>250</v>
      </c>
      <c r="B28" s="28" t="s">
        <v>251</v>
      </c>
      <c r="C28" s="40" t="s">
        <v>60</v>
      </c>
      <c r="D28" s="43" t="str">
        <f t="shared" si="0"/>
        <v>Agentes Biológicos (virus, mohos, hongos, bacterias,
parásitos gastrointestinales,etc.)</v>
      </c>
      <c r="E28" s="36" t="s">
        <v>32</v>
      </c>
      <c r="F28" s="40" t="s">
        <v>252</v>
      </c>
      <c r="G28" s="46" t="s">
        <v>187</v>
      </c>
      <c r="H28" s="25"/>
      <c r="I28" s="25"/>
      <c r="J28" s="25"/>
      <c r="K28" s="25"/>
      <c r="L28" s="25"/>
      <c r="M28" s="25"/>
      <c r="N28" s="25"/>
      <c r="O28" s="25"/>
      <c r="P28" s="25"/>
      <c r="Q28" s="25"/>
      <c r="R28" s="25"/>
    </row>
    <row r="29" spans="1:18" ht="24" customHeight="1" x14ac:dyDescent="0.25">
      <c r="A29" s="326"/>
      <c r="B29" s="28" t="s">
        <v>253</v>
      </c>
      <c r="C29" s="40" t="s">
        <v>254</v>
      </c>
      <c r="D29" s="43" t="str">
        <f t="shared" si="0"/>
        <v>Animales, Insectos</v>
      </c>
      <c r="E29" s="36" t="s">
        <v>255</v>
      </c>
      <c r="F29" s="40" t="s">
        <v>256</v>
      </c>
      <c r="G29" s="46" t="s">
        <v>187</v>
      </c>
      <c r="H29" s="25"/>
      <c r="I29" s="25"/>
      <c r="J29" s="25"/>
      <c r="K29" s="25"/>
      <c r="L29" s="25"/>
      <c r="M29" s="25"/>
      <c r="N29" s="25"/>
      <c r="O29" s="25"/>
      <c r="P29" s="25"/>
      <c r="Q29" s="25"/>
      <c r="R29" s="25"/>
    </row>
    <row r="30" spans="1:18" ht="48" customHeight="1" x14ac:dyDescent="0.25">
      <c r="A30" s="326" t="s">
        <v>257</v>
      </c>
      <c r="B30" s="28" t="s">
        <v>258</v>
      </c>
      <c r="C30" s="40" t="s">
        <v>54</v>
      </c>
      <c r="D30" s="43" t="str">
        <f t="shared" si="0"/>
        <v>Movimientos Repetitivos</v>
      </c>
      <c r="E30" s="36" t="s">
        <v>55</v>
      </c>
      <c r="F30" s="40" t="s">
        <v>259</v>
      </c>
      <c r="G30" s="46" t="s">
        <v>164</v>
      </c>
      <c r="H30" s="25"/>
      <c r="I30" s="25"/>
      <c r="J30" s="25"/>
      <c r="K30" s="25"/>
      <c r="L30" s="25"/>
      <c r="M30" s="25"/>
      <c r="N30" s="25"/>
      <c r="O30" s="25"/>
      <c r="P30" s="25"/>
      <c r="Q30" s="25"/>
      <c r="R30" s="25"/>
    </row>
    <row r="31" spans="1:18" ht="24" customHeight="1" x14ac:dyDescent="0.25">
      <c r="A31" s="326"/>
      <c r="B31" s="28" t="s">
        <v>260</v>
      </c>
      <c r="C31" s="39" t="s">
        <v>63</v>
      </c>
      <c r="D31" s="43" t="str">
        <f t="shared" si="0"/>
        <v>Levantamiento o traslado manual de cargas</v>
      </c>
      <c r="E31" s="36" t="s">
        <v>64</v>
      </c>
      <c r="F31" s="40" t="s">
        <v>261</v>
      </c>
      <c r="G31" s="47" t="s">
        <v>164</v>
      </c>
      <c r="H31" s="25"/>
      <c r="I31" s="25"/>
      <c r="J31" s="25"/>
      <c r="K31" s="25"/>
      <c r="L31" s="25"/>
      <c r="M31" s="25"/>
      <c r="N31" s="25"/>
      <c r="O31" s="25"/>
      <c r="P31" s="25"/>
      <c r="Q31" s="25"/>
      <c r="R31" s="25"/>
    </row>
    <row r="32" spans="1:18" ht="24" customHeight="1" x14ac:dyDescent="0.25">
      <c r="A32" s="326"/>
      <c r="B32" s="28" t="s">
        <v>262</v>
      </c>
      <c r="C32" s="39" t="s">
        <v>65</v>
      </c>
      <c r="D32" s="43" t="str">
        <f t="shared" si="0"/>
        <v>Empuje o tracción manual de cargas</v>
      </c>
      <c r="E32" s="36" t="s">
        <v>66</v>
      </c>
      <c r="F32" s="40" t="s">
        <v>261</v>
      </c>
      <c r="G32" s="47" t="s">
        <v>164</v>
      </c>
      <c r="H32" s="25"/>
      <c r="I32" s="25"/>
      <c r="J32" s="25"/>
      <c r="K32" s="25"/>
      <c r="L32" s="25"/>
      <c r="M32" s="25"/>
      <c r="N32" s="25"/>
      <c r="O32" s="25"/>
      <c r="P32" s="25"/>
      <c r="Q32" s="25"/>
      <c r="R32" s="25"/>
    </row>
    <row r="33" spans="1:18" ht="24" customHeight="1" x14ac:dyDescent="0.25">
      <c r="A33" s="326"/>
      <c r="B33" s="28" t="s">
        <v>263</v>
      </c>
      <c r="C33" s="39" t="s">
        <v>35</v>
      </c>
      <c r="D33" s="43" t="str">
        <f t="shared" si="0"/>
        <v>Posturas inadecuadas</v>
      </c>
      <c r="E33" s="36" t="s">
        <v>36</v>
      </c>
      <c r="F33" s="40" t="s">
        <v>264</v>
      </c>
      <c r="G33" s="47" t="s">
        <v>164</v>
      </c>
      <c r="H33" s="25"/>
      <c r="I33" s="25"/>
      <c r="J33" s="25"/>
      <c r="K33" s="25"/>
      <c r="L33" s="25"/>
      <c r="M33" s="25"/>
      <c r="N33" s="25"/>
      <c r="O33" s="25"/>
      <c r="P33" s="25"/>
      <c r="Q33" s="25"/>
      <c r="R33" s="25"/>
    </row>
    <row r="34" spans="1:18" ht="24" customHeight="1" x14ac:dyDescent="0.25">
      <c r="A34" s="326"/>
      <c r="B34" s="28" t="s">
        <v>265</v>
      </c>
      <c r="C34" s="79" t="s">
        <v>266</v>
      </c>
      <c r="D34" s="43" t="str">
        <f t="shared" si="0"/>
        <v>Espacio Inadecuado de Trabajo</v>
      </c>
      <c r="E34" s="36" t="s">
        <v>267</v>
      </c>
      <c r="F34" s="40" t="s">
        <v>268</v>
      </c>
      <c r="G34" s="46" t="s">
        <v>164</v>
      </c>
      <c r="H34" s="25"/>
      <c r="I34" s="25"/>
      <c r="J34" s="25"/>
      <c r="K34" s="25"/>
      <c r="L34" s="25"/>
      <c r="M34" s="25"/>
      <c r="N34" s="25"/>
      <c r="O34" s="25"/>
      <c r="P34" s="25"/>
      <c r="Q34" s="25"/>
      <c r="R34" s="25"/>
    </row>
    <row r="35" spans="1:18" ht="36" customHeight="1" x14ac:dyDescent="0.25">
      <c r="A35" s="326" t="s">
        <v>269</v>
      </c>
      <c r="B35" s="28" t="s">
        <v>270</v>
      </c>
      <c r="C35" s="40" t="s">
        <v>271</v>
      </c>
      <c r="D35" s="43" t="str">
        <f>IF(C35="",D34,C35)</f>
        <v>Vehículos o equipos en Movimiento (equipo de producción, auxiliar, servicio, liviano, buses,etc)</v>
      </c>
      <c r="E35" s="36" t="s">
        <v>272</v>
      </c>
      <c r="F35" s="40" t="s">
        <v>273</v>
      </c>
      <c r="G35" s="46" t="s">
        <v>173</v>
      </c>
      <c r="H35" s="25"/>
      <c r="I35" s="25"/>
      <c r="J35" s="25"/>
      <c r="K35" s="25"/>
      <c r="L35" s="25"/>
      <c r="M35" s="25"/>
      <c r="N35" s="25"/>
      <c r="O35" s="25"/>
      <c r="P35" s="25"/>
      <c r="Q35" s="25"/>
      <c r="R35" s="25"/>
    </row>
    <row r="36" spans="1:18" ht="24" customHeight="1" x14ac:dyDescent="0.25">
      <c r="A36" s="326"/>
      <c r="B36" s="28" t="s">
        <v>274</v>
      </c>
      <c r="C36" s="40" t="s">
        <v>82</v>
      </c>
      <c r="D36" s="43" t="str">
        <f t="shared" si="0"/>
        <v>Maquinaria o Piezas en movimiento</v>
      </c>
      <c r="E36" s="36" t="s">
        <v>83</v>
      </c>
      <c r="F36" s="40" t="s">
        <v>275</v>
      </c>
      <c r="G36" s="46" t="s">
        <v>173</v>
      </c>
      <c r="H36" s="25"/>
      <c r="I36" s="25"/>
      <c r="J36" s="25"/>
      <c r="K36" s="25"/>
      <c r="L36" s="25"/>
      <c r="M36" s="25"/>
      <c r="N36" s="25"/>
      <c r="O36" s="25"/>
      <c r="P36" s="25"/>
      <c r="Q36" s="25"/>
      <c r="R36" s="25"/>
    </row>
    <row r="37" spans="1:18" ht="28.5" customHeight="1" x14ac:dyDescent="0.25">
      <c r="A37" s="326"/>
      <c r="B37" s="28" t="s">
        <v>276</v>
      </c>
      <c r="C37" s="40" t="s">
        <v>277</v>
      </c>
      <c r="D37" s="43" t="str">
        <f t="shared" si="0"/>
        <v>Espacio Confinado
(Atmósfera Peligrosa)</v>
      </c>
      <c r="E37" s="36" t="s">
        <v>278</v>
      </c>
      <c r="F37" s="40" t="s">
        <v>279</v>
      </c>
      <c r="G37" s="46" t="s">
        <v>173</v>
      </c>
      <c r="H37" s="25"/>
      <c r="I37" s="25"/>
      <c r="J37" s="25"/>
      <c r="K37" s="25"/>
      <c r="L37" s="25"/>
      <c r="M37" s="25"/>
      <c r="N37" s="25"/>
      <c r="O37" s="25"/>
      <c r="P37" s="25"/>
      <c r="Q37" s="25"/>
      <c r="R37" s="25"/>
    </row>
    <row r="38" spans="1:18" ht="24" customHeight="1" x14ac:dyDescent="0.25">
      <c r="A38" s="326"/>
      <c r="B38" s="28" t="s">
        <v>280</v>
      </c>
      <c r="C38" s="40" t="s">
        <v>56</v>
      </c>
      <c r="D38" s="43" t="str">
        <f t="shared" si="0"/>
        <v>Superficie Resbaladiza, Irregular, Obstáculos en el piso</v>
      </c>
      <c r="E38" s="36" t="s">
        <v>57</v>
      </c>
      <c r="F38" s="40" t="s">
        <v>281</v>
      </c>
      <c r="G38" s="46" t="s">
        <v>164</v>
      </c>
      <c r="H38" s="25"/>
      <c r="I38" s="25"/>
      <c r="J38" s="25"/>
      <c r="K38" s="25"/>
      <c r="L38" s="25"/>
      <c r="M38" s="25"/>
      <c r="N38" s="25"/>
      <c r="O38" s="25"/>
      <c r="P38" s="25"/>
      <c r="Q38" s="25"/>
      <c r="R38" s="25"/>
    </row>
    <row r="39" spans="1:18" ht="24" customHeight="1" x14ac:dyDescent="0.25">
      <c r="A39" s="326"/>
      <c r="B39" s="28" t="s">
        <v>282</v>
      </c>
      <c r="C39" s="40" t="s">
        <v>283</v>
      </c>
      <c r="D39" s="43" t="str">
        <f t="shared" si="0"/>
        <v xml:space="preserve">Aberturas en pisos, plataformas, pasillos (open hole) </v>
      </c>
      <c r="E39" s="36" t="s">
        <v>69</v>
      </c>
      <c r="F39" s="40" t="s">
        <v>284</v>
      </c>
      <c r="G39" s="46" t="s">
        <v>173</v>
      </c>
      <c r="H39" s="25"/>
      <c r="I39" s="25"/>
      <c r="J39" s="25"/>
      <c r="K39" s="25"/>
      <c r="L39" s="25"/>
      <c r="M39" s="25"/>
      <c r="N39" s="25"/>
      <c r="O39" s="25"/>
      <c r="P39" s="25"/>
      <c r="Q39" s="25"/>
      <c r="R39" s="25"/>
    </row>
    <row r="40" spans="1:18" ht="24" customHeight="1" x14ac:dyDescent="0.25">
      <c r="A40" s="326"/>
      <c r="B40" s="28" t="s">
        <v>285</v>
      </c>
      <c r="C40" s="40" t="s">
        <v>74</v>
      </c>
      <c r="D40" s="43" t="str">
        <f t="shared" si="0"/>
        <v>Superficies Punzo Cortantes</v>
      </c>
      <c r="E40" s="36" t="s">
        <v>75</v>
      </c>
      <c r="F40" s="40" t="s">
        <v>286</v>
      </c>
      <c r="G40" s="46" t="s">
        <v>164</v>
      </c>
      <c r="H40" s="25"/>
      <c r="I40" s="25"/>
      <c r="J40" s="25"/>
      <c r="K40" s="25"/>
      <c r="L40" s="25"/>
      <c r="M40" s="25"/>
      <c r="N40" s="25"/>
      <c r="O40" s="25"/>
      <c r="P40" s="25"/>
      <c r="Q40" s="25"/>
      <c r="R40" s="25"/>
    </row>
    <row r="41" spans="1:18" ht="36" customHeight="1" x14ac:dyDescent="0.25">
      <c r="A41" s="326"/>
      <c r="B41" s="28" t="s">
        <v>287</v>
      </c>
      <c r="C41" s="40" t="s">
        <v>288</v>
      </c>
      <c r="D41" s="43" t="str">
        <f t="shared" si="0"/>
        <v>Objetos Almacenados en Altura</v>
      </c>
      <c r="E41" s="36" t="s">
        <v>289</v>
      </c>
      <c r="F41" s="40" t="s">
        <v>290</v>
      </c>
      <c r="G41" s="46" t="s">
        <v>164</v>
      </c>
      <c r="H41" s="25"/>
      <c r="I41" s="25"/>
      <c r="J41" s="25"/>
      <c r="K41" s="25"/>
      <c r="L41" s="25"/>
      <c r="M41" s="25"/>
      <c r="N41" s="25"/>
      <c r="O41" s="25"/>
      <c r="P41" s="25"/>
      <c r="Q41" s="25"/>
      <c r="R41" s="25"/>
    </row>
    <row r="42" spans="1:18" ht="24" customHeight="1" x14ac:dyDescent="0.25">
      <c r="A42" s="326"/>
      <c r="B42" s="28" t="s">
        <v>291</v>
      </c>
      <c r="C42" s="40" t="s">
        <v>85</v>
      </c>
      <c r="D42" s="43" t="str">
        <f t="shared" si="0"/>
        <v>Carga Suspendidas</v>
      </c>
      <c r="E42" s="36" t="s">
        <v>86</v>
      </c>
      <c r="F42" s="40" t="s">
        <v>292</v>
      </c>
      <c r="G42" s="46" t="s">
        <v>173</v>
      </c>
      <c r="H42" s="25"/>
      <c r="I42" s="25"/>
      <c r="J42" s="25"/>
      <c r="K42" s="25"/>
      <c r="L42" s="25"/>
      <c r="M42" s="25"/>
      <c r="N42" s="25"/>
      <c r="O42" s="25"/>
      <c r="P42" s="25"/>
      <c r="Q42" s="25"/>
      <c r="R42" s="25"/>
    </row>
    <row r="43" spans="1:18" ht="39" customHeight="1" x14ac:dyDescent="0.25">
      <c r="A43" s="326"/>
      <c r="B43" s="322" t="s">
        <v>293</v>
      </c>
      <c r="C43" s="320" t="s">
        <v>294</v>
      </c>
      <c r="D43" s="43" t="str">
        <f t="shared" si="0"/>
        <v>Fluidos a Presión, Equipo Presurizado
(Hidráulica, Neumática)</v>
      </c>
      <c r="E43" s="36" t="s">
        <v>295</v>
      </c>
      <c r="F43" s="40" t="s">
        <v>296</v>
      </c>
      <c r="G43" s="46" t="s">
        <v>173</v>
      </c>
      <c r="H43" s="25"/>
      <c r="I43" s="25"/>
      <c r="J43" s="25"/>
      <c r="K43" s="25"/>
      <c r="L43" s="25"/>
      <c r="M43" s="25"/>
      <c r="N43" s="25"/>
      <c r="O43" s="25"/>
      <c r="P43" s="25"/>
      <c r="Q43" s="25"/>
      <c r="R43" s="25"/>
    </row>
    <row r="44" spans="1:18" ht="39" customHeight="1" x14ac:dyDescent="0.25">
      <c r="A44" s="326"/>
      <c r="B44" s="323"/>
      <c r="C44" s="321"/>
      <c r="D44" s="43" t="str">
        <f t="shared" si="0"/>
        <v>Fluidos a Presión, Equipo Presurizado
(Hidráulica, Neumática)</v>
      </c>
      <c r="E44" s="36" t="s">
        <v>232</v>
      </c>
      <c r="F44" s="40" t="s">
        <v>297</v>
      </c>
      <c r="G44" s="46" t="s">
        <v>173</v>
      </c>
      <c r="H44" s="25"/>
      <c r="I44" s="25"/>
      <c r="J44" s="25"/>
      <c r="K44" s="25"/>
      <c r="L44" s="25"/>
      <c r="M44" s="25"/>
      <c r="N44" s="25"/>
      <c r="O44" s="25"/>
      <c r="P44" s="25"/>
      <c r="Q44" s="25"/>
      <c r="R44" s="25"/>
    </row>
    <row r="45" spans="1:18" ht="24" customHeight="1" x14ac:dyDescent="0.25">
      <c r="A45" s="326"/>
      <c r="B45" s="28" t="s">
        <v>298</v>
      </c>
      <c r="C45" s="40" t="s">
        <v>299</v>
      </c>
      <c r="D45" s="43" t="str">
        <f t="shared" si="0"/>
        <v>Proyección de partículas</v>
      </c>
      <c r="E45" s="36" t="s">
        <v>300</v>
      </c>
      <c r="F45" s="40" t="s">
        <v>301</v>
      </c>
      <c r="G45" s="46" t="s">
        <v>164</v>
      </c>
      <c r="H45" s="25"/>
      <c r="I45" s="25"/>
      <c r="J45" s="25"/>
      <c r="K45" s="25"/>
      <c r="L45" s="25"/>
      <c r="M45" s="25"/>
      <c r="N45" s="25"/>
      <c r="O45" s="25"/>
      <c r="P45" s="25"/>
      <c r="Q45" s="25"/>
      <c r="R45" s="25"/>
    </row>
    <row r="46" spans="1:18" ht="12" customHeight="1" x14ac:dyDescent="0.25">
      <c r="A46" s="326"/>
      <c r="B46" s="322" t="s">
        <v>302</v>
      </c>
      <c r="C46" s="320" t="s">
        <v>303</v>
      </c>
      <c r="D46" s="43" t="str">
        <f t="shared" si="0"/>
        <v>Excavaciones</v>
      </c>
      <c r="E46" s="36" t="s">
        <v>304</v>
      </c>
      <c r="F46" s="40" t="s">
        <v>305</v>
      </c>
      <c r="G46" s="46" t="s">
        <v>173</v>
      </c>
      <c r="H46" s="25"/>
      <c r="I46" s="25"/>
      <c r="J46" s="25"/>
      <c r="K46" s="25"/>
      <c r="L46" s="25"/>
      <c r="M46" s="25"/>
      <c r="N46" s="25"/>
      <c r="O46" s="25"/>
      <c r="P46" s="25"/>
      <c r="Q46" s="25"/>
      <c r="R46" s="25"/>
    </row>
    <row r="47" spans="1:18" ht="24" customHeight="1" x14ac:dyDescent="0.25">
      <c r="A47" s="326"/>
      <c r="B47" s="332"/>
      <c r="C47" s="331"/>
      <c r="D47" s="43" t="str">
        <f t="shared" si="0"/>
        <v>Excavaciones</v>
      </c>
      <c r="E47" s="36" t="s">
        <v>306</v>
      </c>
      <c r="F47" s="40" t="s">
        <v>307</v>
      </c>
      <c r="G47" s="46" t="s">
        <v>173</v>
      </c>
      <c r="H47" s="25"/>
      <c r="I47" s="25"/>
      <c r="J47" s="25"/>
      <c r="K47" s="25"/>
      <c r="L47" s="25"/>
      <c r="M47" s="25"/>
      <c r="N47" s="25"/>
      <c r="O47" s="25"/>
      <c r="P47" s="25"/>
      <c r="Q47" s="25"/>
      <c r="R47" s="25"/>
    </row>
    <row r="48" spans="1:18" ht="24" customHeight="1" x14ac:dyDescent="0.25">
      <c r="A48" s="326"/>
      <c r="B48" s="323"/>
      <c r="C48" s="321"/>
      <c r="D48" s="43" t="str">
        <f t="shared" si="0"/>
        <v>Excavaciones</v>
      </c>
      <c r="E48" s="36" t="s">
        <v>308</v>
      </c>
      <c r="F48" s="40" t="s">
        <v>309</v>
      </c>
      <c r="G48" s="46" t="s">
        <v>173</v>
      </c>
      <c r="H48" s="25"/>
      <c r="I48" s="25"/>
      <c r="J48" s="25"/>
      <c r="K48" s="25"/>
      <c r="L48" s="25"/>
      <c r="M48" s="25"/>
      <c r="N48" s="25"/>
      <c r="O48" s="25"/>
      <c r="P48" s="25"/>
      <c r="Q48" s="25"/>
      <c r="R48" s="25"/>
    </row>
    <row r="49" spans="1:18" ht="24" customHeight="1" x14ac:dyDescent="0.25">
      <c r="A49" s="326"/>
      <c r="B49" s="28" t="s">
        <v>310</v>
      </c>
      <c r="C49" s="40" t="s">
        <v>311</v>
      </c>
      <c r="D49" s="43" t="str">
        <f t="shared" si="0"/>
        <v>Terreno o Superficies Inestables
(Taludes, Superficies, etc.)</v>
      </c>
      <c r="E49" s="36" t="s">
        <v>312</v>
      </c>
      <c r="F49" s="40" t="s">
        <v>313</v>
      </c>
      <c r="G49" s="46" t="s">
        <v>173</v>
      </c>
      <c r="H49" s="25"/>
      <c r="I49" s="25"/>
      <c r="J49" s="25"/>
      <c r="K49" s="25"/>
      <c r="L49" s="25"/>
      <c r="M49" s="25"/>
      <c r="N49" s="25"/>
      <c r="O49" s="25"/>
      <c r="P49" s="25"/>
      <c r="Q49" s="25"/>
      <c r="R49" s="25"/>
    </row>
    <row r="50" spans="1:18" ht="48" customHeight="1" x14ac:dyDescent="0.25">
      <c r="A50" s="326"/>
      <c r="B50" s="28" t="s">
        <v>314</v>
      </c>
      <c r="C50" s="40" t="s">
        <v>315</v>
      </c>
      <c r="D50" s="43" t="str">
        <f t="shared" si="0"/>
        <v xml:space="preserve">Estructuras e Instalaciones Inestables
(Instalaciones, muros, andamios, escaleras, plataformas, etc.) </v>
      </c>
      <c r="E50" s="36" t="s">
        <v>316</v>
      </c>
      <c r="F50" s="40" t="s">
        <v>317</v>
      </c>
      <c r="G50" s="46" t="s">
        <v>173</v>
      </c>
      <c r="H50" s="25"/>
      <c r="I50" s="25"/>
      <c r="J50" s="25"/>
      <c r="K50" s="25"/>
      <c r="L50" s="25"/>
      <c r="M50" s="25"/>
      <c r="N50" s="25"/>
      <c r="O50" s="25"/>
      <c r="P50" s="25"/>
      <c r="Q50" s="25"/>
      <c r="R50" s="25"/>
    </row>
    <row r="51" spans="1:18" ht="24" customHeight="1" x14ac:dyDescent="0.25">
      <c r="A51" s="326"/>
      <c r="B51" s="28" t="s">
        <v>318</v>
      </c>
      <c r="C51" s="40" t="s">
        <v>40</v>
      </c>
      <c r="D51" s="43" t="str">
        <f>IF(C51="",D49,C51)</f>
        <v>Vías / Accesos no señalizados</v>
      </c>
      <c r="E51" s="36" t="s">
        <v>41</v>
      </c>
      <c r="F51" s="40" t="s">
        <v>319</v>
      </c>
      <c r="G51" s="46" t="s">
        <v>164</v>
      </c>
      <c r="H51" s="25"/>
      <c r="I51" s="25"/>
      <c r="J51" s="25"/>
      <c r="K51" s="25"/>
      <c r="L51" s="25"/>
      <c r="M51" s="25"/>
      <c r="N51" s="25"/>
      <c r="O51" s="25"/>
      <c r="P51" s="25"/>
      <c r="Q51" s="25"/>
      <c r="R51" s="25"/>
    </row>
    <row r="52" spans="1:18" ht="24" customHeight="1" x14ac:dyDescent="0.25">
      <c r="A52" s="326"/>
      <c r="B52" s="28" t="s">
        <v>320</v>
      </c>
      <c r="C52" s="40" t="s">
        <v>321</v>
      </c>
      <c r="D52" s="43" t="str">
        <f>IF(C52="",D50,C52)</f>
        <v>Subir y bajar escaleras</v>
      </c>
      <c r="E52" s="36" t="s">
        <v>322</v>
      </c>
      <c r="F52" s="40" t="s">
        <v>323</v>
      </c>
      <c r="G52" s="46" t="s">
        <v>164</v>
      </c>
      <c r="H52" s="25"/>
      <c r="I52" s="25"/>
      <c r="J52" s="25"/>
      <c r="K52" s="25"/>
      <c r="L52" s="25"/>
      <c r="M52" s="25"/>
      <c r="N52" s="25"/>
      <c r="O52" s="25"/>
      <c r="P52" s="25"/>
      <c r="Q52" s="25"/>
      <c r="R52" s="25"/>
    </row>
    <row r="53" spans="1:18" s="31" customFormat="1" ht="12" customHeight="1" x14ac:dyDescent="0.25">
      <c r="A53" s="326" t="s">
        <v>324</v>
      </c>
      <c r="B53" s="28" t="s">
        <v>320</v>
      </c>
      <c r="C53" s="39" t="s">
        <v>325</v>
      </c>
      <c r="D53" s="43" t="str">
        <f>IF(C53="",D52,C53)</f>
        <v>Manifestaciones</v>
      </c>
      <c r="E53" s="38" t="s">
        <v>326</v>
      </c>
      <c r="F53" s="40" t="s">
        <v>327</v>
      </c>
      <c r="G53" s="47" t="s">
        <v>187</v>
      </c>
      <c r="H53" s="30"/>
      <c r="I53" s="30"/>
      <c r="J53" s="30"/>
      <c r="K53" s="30"/>
      <c r="L53" s="30"/>
      <c r="M53" s="30"/>
      <c r="N53" s="30"/>
      <c r="O53" s="30"/>
      <c r="P53" s="30"/>
      <c r="Q53" s="30"/>
      <c r="R53" s="30"/>
    </row>
    <row r="54" spans="1:18" ht="22.9" customHeight="1" x14ac:dyDescent="0.25">
      <c r="A54" s="326"/>
      <c r="B54" s="28" t="s">
        <v>328</v>
      </c>
      <c r="C54" s="39" t="s">
        <v>329</v>
      </c>
      <c r="D54" s="43" t="str">
        <f t="shared" si="0"/>
        <v>Horas de trabajo prolongadas, excesivas</v>
      </c>
      <c r="E54" s="38" t="s">
        <v>326</v>
      </c>
      <c r="F54" s="40" t="s">
        <v>330</v>
      </c>
      <c r="G54" s="47" t="s">
        <v>187</v>
      </c>
      <c r="H54" s="25"/>
      <c r="I54" s="25"/>
      <c r="J54" s="25"/>
      <c r="K54" s="25"/>
      <c r="L54" s="25"/>
      <c r="M54" s="25"/>
      <c r="N54" s="25"/>
      <c r="O54" s="25"/>
      <c r="P54" s="25"/>
      <c r="Q54" s="25"/>
      <c r="R54" s="25"/>
    </row>
    <row r="55" spans="1:18" ht="12.65" customHeight="1" x14ac:dyDescent="0.25">
      <c r="A55" s="326"/>
      <c r="B55" s="28" t="s">
        <v>331</v>
      </c>
      <c r="C55" s="39" t="s">
        <v>332</v>
      </c>
      <c r="D55" s="43" t="str">
        <f t="shared" si="0"/>
        <v>Sobrecarga de Trabajo</v>
      </c>
      <c r="E55" s="38" t="s">
        <v>326</v>
      </c>
      <c r="F55" s="40" t="s">
        <v>330</v>
      </c>
      <c r="G55" s="47" t="s">
        <v>187</v>
      </c>
      <c r="H55" s="25"/>
      <c r="I55" s="25"/>
      <c r="J55" s="25"/>
      <c r="K55" s="25"/>
      <c r="L55" s="25"/>
      <c r="M55" s="25"/>
      <c r="N55" s="25"/>
      <c r="O55" s="25"/>
      <c r="P55" s="25"/>
      <c r="Q55" s="25"/>
      <c r="R55" s="25"/>
    </row>
    <row r="56" spans="1:18" ht="12" customHeight="1" x14ac:dyDescent="0.25">
      <c r="A56" s="326"/>
      <c r="B56" s="28" t="s">
        <v>333</v>
      </c>
      <c r="C56" s="39" t="s">
        <v>334</v>
      </c>
      <c r="D56" s="43" t="str">
        <f t="shared" si="0"/>
        <v>Personas con conductas agresivas</v>
      </c>
      <c r="E56" s="38" t="s">
        <v>326</v>
      </c>
      <c r="F56" s="40" t="s">
        <v>335</v>
      </c>
      <c r="G56" s="47" t="s">
        <v>187</v>
      </c>
      <c r="H56" s="25"/>
      <c r="I56" s="25"/>
      <c r="J56" s="25"/>
      <c r="K56" s="25"/>
      <c r="L56" s="25"/>
      <c r="M56" s="25"/>
      <c r="N56" s="25"/>
      <c r="O56" s="25"/>
      <c r="P56" s="25"/>
      <c r="Q56" s="25"/>
      <c r="R56" s="25"/>
    </row>
    <row r="57" spans="1:18" ht="12" customHeight="1" x14ac:dyDescent="0.25">
      <c r="A57" s="326"/>
      <c r="B57" s="28" t="s">
        <v>336</v>
      </c>
      <c r="C57" s="40" t="s">
        <v>337</v>
      </c>
      <c r="D57" s="43" t="str">
        <f t="shared" si="0"/>
        <v>Acoso y hostigamiento sexual</v>
      </c>
      <c r="E57" s="38" t="s">
        <v>326</v>
      </c>
      <c r="F57" s="40" t="s">
        <v>330</v>
      </c>
      <c r="G57" s="46" t="s">
        <v>187</v>
      </c>
      <c r="H57" s="25"/>
      <c r="I57" s="25"/>
      <c r="J57" s="25"/>
      <c r="K57" s="25"/>
      <c r="L57" s="25"/>
      <c r="M57" s="25"/>
      <c r="N57" s="25"/>
      <c r="O57" s="25"/>
      <c r="P57" s="25"/>
      <c r="Q57" s="25"/>
      <c r="R57" s="25"/>
    </row>
    <row r="58" spans="1:18" ht="24" customHeight="1" x14ac:dyDescent="0.25">
      <c r="A58" s="32" t="s">
        <v>338</v>
      </c>
      <c r="B58" s="322" t="s">
        <v>339</v>
      </c>
      <c r="C58" s="322" t="s">
        <v>61</v>
      </c>
      <c r="D58" s="43" t="str">
        <f t="shared" si="0"/>
        <v xml:space="preserve">Manipulación de sustancias químicas </v>
      </c>
      <c r="E58" s="36" t="s">
        <v>62</v>
      </c>
      <c r="F58" s="40" t="s">
        <v>340</v>
      </c>
      <c r="G58" s="46" t="s">
        <v>187</v>
      </c>
      <c r="H58" s="25"/>
      <c r="I58" s="25"/>
      <c r="J58" s="25"/>
      <c r="K58" s="25"/>
      <c r="L58" s="25"/>
      <c r="M58" s="25"/>
      <c r="N58" s="25"/>
      <c r="O58" s="25"/>
      <c r="P58" s="25"/>
      <c r="Q58" s="25"/>
      <c r="R58" s="25"/>
    </row>
    <row r="59" spans="1:18" ht="24" customHeight="1" x14ac:dyDescent="0.25">
      <c r="A59" s="32"/>
      <c r="B59" s="332"/>
      <c r="C59" s="332"/>
      <c r="D59" s="55" t="str">
        <f t="shared" si="0"/>
        <v xml:space="preserve">Manipulación de sustancias químicas </v>
      </c>
      <c r="E59" s="36" t="s">
        <v>341</v>
      </c>
      <c r="F59" s="40" t="s">
        <v>342</v>
      </c>
      <c r="G59" s="46" t="s">
        <v>164</v>
      </c>
      <c r="H59" s="25"/>
      <c r="I59" s="25"/>
      <c r="J59" s="25"/>
      <c r="K59" s="25"/>
      <c r="L59" s="25"/>
      <c r="M59" s="25"/>
      <c r="N59" s="25"/>
      <c r="O59" s="25"/>
      <c r="P59" s="25"/>
      <c r="Q59" s="25"/>
      <c r="R59" s="25"/>
    </row>
    <row r="60" spans="1:18" ht="24" customHeight="1" x14ac:dyDescent="0.25">
      <c r="A60" s="32"/>
      <c r="B60" s="332"/>
      <c r="C60" s="332"/>
      <c r="D60" s="43" t="str">
        <f t="shared" si="0"/>
        <v xml:space="preserve">Manipulación de sustancias químicas </v>
      </c>
      <c r="E60" s="36" t="s">
        <v>343</v>
      </c>
      <c r="F60" s="40" t="s">
        <v>344</v>
      </c>
      <c r="G60" s="46" t="s">
        <v>187</v>
      </c>
      <c r="H60" s="25"/>
      <c r="I60" s="25"/>
      <c r="J60" s="25"/>
      <c r="K60" s="25"/>
      <c r="L60" s="25"/>
      <c r="M60" s="25"/>
      <c r="N60" s="25"/>
      <c r="O60" s="25"/>
      <c r="P60" s="25"/>
      <c r="Q60" s="25"/>
      <c r="R60" s="25"/>
    </row>
    <row r="61" spans="1:18" ht="24" customHeight="1" x14ac:dyDescent="0.25">
      <c r="A61" s="32"/>
      <c r="B61" s="323"/>
      <c r="C61" s="323"/>
      <c r="D61" s="43" t="str">
        <f t="shared" si="0"/>
        <v xml:space="preserve">Manipulación de sustancias químicas </v>
      </c>
      <c r="E61" s="36" t="s">
        <v>345</v>
      </c>
      <c r="F61" s="40" t="s">
        <v>346</v>
      </c>
      <c r="G61" s="46" t="s">
        <v>164</v>
      </c>
      <c r="H61" s="25"/>
      <c r="I61" s="25"/>
      <c r="J61" s="25"/>
      <c r="K61" s="25"/>
      <c r="L61" s="25"/>
      <c r="M61" s="25"/>
      <c r="N61" s="25"/>
      <c r="O61" s="25"/>
      <c r="P61" s="25"/>
      <c r="Q61" s="25"/>
      <c r="R61" s="25"/>
    </row>
    <row r="62" spans="1:18" ht="24" customHeight="1" x14ac:dyDescent="0.25">
      <c r="A62" s="32"/>
      <c r="B62" s="28" t="s">
        <v>347</v>
      </c>
      <c r="C62" s="39" t="s">
        <v>348</v>
      </c>
      <c r="D62" s="43" t="str">
        <f t="shared" si="0"/>
        <v>Manipulación de accesorios para voladura</v>
      </c>
      <c r="E62" s="35" t="s">
        <v>232</v>
      </c>
      <c r="F62" s="39" t="s">
        <v>349</v>
      </c>
      <c r="G62" s="46" t="s">
        <v>173</v>
      </c>
      <c r="H62" s="25"/>
      <c r="I62" s="25"/>
      <c r="J62" s="25"/>
      <c r="K62" s="25"/>
      <c r="L62" s="25"/>
      <c r="M62" s="25"/>
      <c r="N62" s="25"/>
      <c r="O62" s="25"/>
      <c r="P62" s="25"/>
      <c r="Q62" s="25"/>
      <c r="R62" s="25"/>
    </row>
    <row r="63" spans="1:18" ht="24" customHeight="1" x14ac:dyDescent="0.25">
      <c r="A63" s="32"/>
      <c r="B63" s="28" t="s">
        <v>350</v>
      </c>
      <c r="C63" s="39" t="s">
        <v>351</v>
      </c>
      <c r="D63" s="43" t="str">
        <f t="shared" si="0"/>
        <v>Tiro cortado (Explosivos sin detonar después de una voladura)</v>
      </c>
      <c r="E63" s="35" t="s">
        <v>232</v>
      </c>
      <c r="F63" s="39" t="s">
        <v>349</v>
      </c>
      <c r="G63" s="46" t="s">
        <v>173</v>
      </c>
      <c r="H63" s="25"/>
      <c r="I63" s="25"/>
      <c r="J63" s="25"/>
      <c r="K63" s="25"/>
      <c r="L63" s="25"/>
      <c r="M63" s="25"/>
      <c r="N63" s="25"/>
      <c r="O63" s="25"/>
      <c r="P63" s="25"/>
      <c r="Q63" s="25"/>
      <c r="R63" s="25"/>
    </row>
    <row r="64" spans="1:18" ht="48" customHeight="1" x14ac:dyDescent="0.25">
      <c r="A64" s="32"/>
      <c r="B64" s="28" t="s">
        <v>352</v>
      </c>
      <c r="C64" s="40" t="s">
        <v>70</v>
      </c>
      <c r="D64" s="43" t="str">
        <f t="shared" si="0"/>
        <v>Material Inflamable, Material combustible, Gases combustibles, Líquidos inflamables, Líquidos combustibles</v>
      </c>
      <c r="E64" s="36" t="s">
        <v>71</v>
      </c>
      <c r="F64" s="40" t="s">
        <v>353</v>
      </c>
      <c r="G64" s="46" t="s">
        <v>164</v>
      </c>
      <c r="H64" s="25"/>
      <c r="I64" s="25"/>
      <c r="J64" s="25"/>
      <c r="K64" s="25"/>
      <c r="L64" s="25"/>
      <c r="M64" s="25"/>
      <c r="N64" s="25"/>
      <c r="O64" s="25"/>
      <c r="P64" s="25"/>
      <c r="Q64" s="25"/>
      <c r="R64" s="25"/>
    </row>
    <row r="65" spans="1:18" ht="72" customHeight="1" x14ac:dyDescent="0.25">
      <c r="A65" s="32"/>
      <c r="B65" s="28" t="s">
        <v>354</v>
      </c>
      <c r="C65" s="40" t="s">
        <v>355</v>
      </c>
      <c r="D65" s="43" t="str">
        <f t="shared" si="0"/>
        <v>Izaje de cargas</v>
      </c>
      <c r="E65" s="36" t="s">
        <v>449</v>
      </c>
      <c r="F65" s="40" t="s">
        <v>356</v>
      </c>
      <c r="G65" s="46" t="s">
        <v>173</v>
      </c>
      <c r="H65" s="25"/>
      <c r="I65" s="25"/>
      <c r="J65" s="25"/>
      <c r="K65" s="25"/>
      <c r="L65" s="25"/>
      <c r="M65" s="25"/>
      <c r="N65" s="25"/>
      <c r="O65" s="25"/>
      <c r="P65" s="25"/>
      <c r="Q65" s="25"/>
      <c r="R65" s="25"/>
    </row>
    <row r="66" spans="1:18" ht="48" customHeight="1" x14ac:dyDescent="0.25">
      <c r="A66" s="32"/>
      <c r="B66" s="28" t="s">
        <v>357</v>
      </c>
      <c r="C66" s="40" t="s">
        <v>358</v>
      </c>
      <c r="D66" s="43" t="str">
        <f t="shared" si="0"/>
        <v>Trabajo en Caliente (soldadura, esmerilado, etc.)</v>
      </c>
      <c r="E66" s="36" t="s">
        <v>359</v>
      </c>
      <c r="F66" s="40" t="s">
        <v>360</v>
      </c>
      <c r="G66" s="46" t="s">
        <v>173</v>
      </c>
      <c r="H66" s="25"/>
      <c r="I66" s="25"/>
      <c r="J66" s="25"/>
      <c r="K66" s="25"/>
      <c r="L66" s="25"/>
      <c r="M66" s="25"/>
      <c r="N66" s="25"/>
      <c r="O66" s="25"/>
      <c r="P66" s="25"/>
      <c r="Q66" s="25"/>
      <c r="R66" s="25"/>
    </row>
    <row r="67" spans="1:18" ht="24" customHeight="1" x14ac:dyDescent="0.25">
      <c r="A67" s="32"/>
      <c r="B67" s="28" t="s">
        <v>361</v>
      </c>
      <c r="C67" s="40" t="s">
        <v>362</v>
      </c>
      <c r="D67" s="43" t="str">
        <f t="shared" si="0"/>
        <v xml:space="preserve">Trabajos sobre cuerpos / cursos de agua </v>
      </c>
      <c r="E67" s="36" t="s">
        <v>363</v>
      </c>
      <c r="F67" s="40" t="s">
        <v>364</v>
      </c>
      <c r="G67" s="46" t="s">
        <v>173</v>
      </c>
      <c r="H67" s="25"/>
      <c r="I67" s="25"/>
      <c r="J67" s="25"/>
      <c r="K67" s="25"/>
      <c r="L67" s="25"/>
      <c r="M67" s="25"/>
      <c r="N67" s="25"/>
      <c r="O67" s="25"/>
      <c r="P67" s="25"/>
      <c r="Q67" s="25"/>
      <c r="R67" s="25"/>
    </row>
    <row r="68" spans="1:18" ht="24" customHeight="1" x14ac:dyDescent="0.25">
      <c r="A68" s="32"/>
      <c r="B68" s="28" t="s">
        <v>365</v>
      </c>
      <c r="C68" s="40" t="s">
        <v>366</v>
      </c>
      <c r="D68" s="43" t="str">
        <f t="shared" si="0"/>
        <v>Manipulación de Herramientas/objetos</v>
      </c>
      <c r="E68" s="36" t="s">
        <v>367</v>
      </c>
      <c r="F68" s="40" t="s">
        <v>368</v>
      </c>
      <c r="G68" s="46" t="s">
        <v>164</v>
      </c>
      <c r="H68" s="25"/>
      <c r="I68" s="25"/>
      <c r="J68" s="25"/>
      <c r="K68" s="25"/>
      <c r="L68" s="25"/>
      <c r="M68" s="25"/>
      <c r="N68" s="25"/>
      <c r="O68" s="25"/>
      <c r="P68" s="25"/>
      <c r="Q68" s="25"/>
      <c r="R68" s="25"/>
    </row>
    <row r="69" spans="1:18" ht="48" customHeight="1" x14ac:dyDescent="0.25">
      <c r="A69" s="32"/>
      <c r="B69" s="28" t="s">
        <v>369</v>
      </c>
      <c r="C69" s="40" t="s">
        <v>50</v>
      </c>
      <c r="D69" s="43" t="str">
        <f t="shared" ref="D69:D73" si="1">IF(C69="",D68,C69)</f>
        <v>Operación de Vehículos o equipos en Movimiento (equipo de producción, auxiliar, servicio, liviano, buses,etc)</v>
      </c>
      <c r="E69" s="36" t="s">
        <v>51</v>
      </c>
      <c r="F69" s="40" t="s">
        <v>273</v>
      </c>
      <c r="G69" s="46" t="s">
        <v>173</v>
      </c>
      <c r="H69" s="25"/>
      <c r="I69" s="25"/>
      <c r="J69" s="25"/>
      <c r="K69" s="25"/>
      <c r="L69" s="25"/>
      <c r="M69" s="25"/>
      <c r="N69" s="25"/>
      <c r="O69" s="25"/>
      <c r="P69" s="25"/>
      <c r="Q69" s="25"/>
      <c r="R69" s="25"/>
    </row>
    <row r="70" spans="1:18" ht="24" customHeight="1" x14ac:dyDescent="0.25">
      <c r="A70" s="32"/>
      <c r="B70" s="28" t="s">
        <v>370</v>
      </c>
      <c r="C70" s="40" t="s">
        <v>68</v>
      </c>
      <c r="D70" s="43" t="str">
        <f t="shared" si="1"/>
        <v>Trabajos en altura 
(encima de 1.50 metros)</v>
      </c>
      <c r="E70" s="36" t="s">
        <v>69</v>
      </c>
      <c r="F70" s="40" t="s">
        <v>284</v>
      </c>
      <c r="G70" s="46" t="s">
        <v>173</v>
      </c>
      <c r="H70" s="25"/>
      <c r="I70" s="25"/>
      <c r="J70" s="25"/>
      <c r="K70" s="25"/>
      <c r="L70" s="25"/>
      <c r="M70" s="25"/>
      <c r="N70" s="25"/>
      <c r="O70" s="25"/>
      <c r="P70" s="25"/>
      <c r="Q70" s="25"/>
      <c r="R70" s="25"/>
    </row>
    <row r="71" spans="1:18" ht="25.15" customHeight="1" x14ac:dyDescent="0.25">
      <c r="A71" s="326" t="s">
        <v>371</v>
      </c>
      <c r="B71" s="28" t="s">
        <v>372</v>
      </c>
      <c r="C71" s="39" t="s">
        <v>46</v>
      </c>
      <c r="D71" s="43" t="str">
        <f t="shared" si="1"/>
        <v>Vientos fuertes</v>
      </c>
      <c r="E71" s="38" t="s">
        <v>47</v>
      </c>
      <c r="F71" s="40" t="s">
        <v>373</v>
      </c>
      <c r="G71" s="48" t="s">
        <v>187</v>
      </c>
      <c r="H71" s="25"/>
      <c r="I71" s="25"/>
      <c r="J71" s="25"/>
      <c r="K71" s="25"/>
      <c r="L71" s="25"/>
      <c r="M71" s="25"/>
      <c r="N71" s="25"/>
      <c r="O71" s="25"/>
      <c r="P71" s="25"/>
      <c r="Q71" s="25"/>
      <c r="R71" s="25"/>
    </row>
    <row r="72" spans="1:18" ht="12" customHeight="1" x14ac:dyDescent="0.25">
      <c r="A72" s="326"/>
      <c r="B72" s="28" t="s">
        <v>374</v>
      </c>
      <c r="C72" s="39" t="s">
        <v>375</v>
      </c>
      <c r="D72" s="43" t="str">
        <f t="shared" si="1"/>
        <v>Tormenta Eléctrica</v>
      </c>
      <c r="E72" s="36" t="s">
        <v>376</v>
      </c>
      <c r="F72" s="40" t="s">
        <v>377</v>
      </c>
      <c r="G72" s="48" t="s">
        <v>173</v>
      </c>
      <c r="H72" s="25"/>
      <c r="I72" s="25"/>
      <c r="J72" s="25"/>
      <c r="K72" s="25"/>
      <c r="L72" s="25"/>
      <c r="M72" s="25"/>
      <c r="N72" s="25"/>
      <c r="O72" s="25"/>
      <c r="P72" s="25"/>
      <c r="Q72" s="25"/>
      <c r="R72" s="25"/>
    </row>
    <row r="73" spans="1:18" ht="24" customHeight="1" x14ac:dyDescent="0.25">
      <c r="A73" s="326"/>
      <c r="B73" s="28" t="s">
        <v>378</v>
      </c>
      <c r="C73" s="39" t="s">
        <v>77</v>
      </c>
      <c r="D73" s="43" t="str">
        <f t="shared" si="1"/>
        <v>Sismos</v>
      </c>
      <c r="E73" s="38" t="s">
        <v>78</v>
      </c>
      <c r="F73" s="40" t="s">
        <v>379</v>
      </c>
      <c r="G73" s="48" t="s">
        <v>164</v>
      </c>
      <c r="H73" s="25"/>
      <c r="I73" s="25"/>
      <c r="J73" s="25"/>
      <c r="K73" s="25"/>
      <c r="L73" s="25"/>
      <c r="M73" s="25"/>
      <c r="N73" s="25"/>
      <c r="O73" s="25"/>
      <c r="P73" s="25"/>
      <c r="Q73" s="25"/>
      <c r="R73" s="25"/>
    </row>
    <row r="74" spans="1:18" ht="24" customHeight="1" x14ac:dyDescent="0.25">
      <c r="A74" s="326"/>
      <c r="B74" s="27" t="s">
        <v>380</v>
      </c>
      <c r="C74" s="42" t="s">
        <v>52</v>
      </c>
      <c r="D74" s="43" t="str">
        <f>IF(C74="",D73,C74)</f>
        <v>Corrientes de aire</v>
      </c>
      <c r="E74" s="35" t="s">
        <v>76</v>
      </c>
      <c r="F74" s="40" t="s">
        <v>381</v>
      </c>
      <c r="G74" s="48" t="s">
        <v>187</v>
      </c>
      <c r="H74" s="25"/>
      <c r="I74" s="25"/>
      <c r="J74" s="25"/>
      <c r="K74" s="25"/>
      <c r="L74" s="25"/>
      <c r="M74" s="25"/>
      <c r="N74" s="25"/>
      <c r="O74" s="25"/>
      <c r="P74" s="25"/>
      <c r="Q74" s="25"/>
      <c r="R74" s="25"/>
    </row>
    <row r="75" spans="1:18" ht="54" customHeight="1" x14ac:dyDescent="0.25">
      <c r="A75" s="32"/>
      <c r="B75" s="28" t="s">
        <v>452</v>
      </c>
      <c r="C75" s="42" t="s">
        <v>453</v>
      </c>
      <c r="D75" s="42" t="s">
        <v>453</v>
      </c>
      <c r="E75" s="84" t="s">
        <v>454</v>
      </c>
      <c r="F75" s="85"/>
      <c r="G75" s="86"/>
      <c r="H75" s="25"/>
      <c r="I75" s="25"/>
      <c r="J75" s="25"/>
      <c r="K75" s="25"/>
      <c r="L75" s="25"/>
      <c r="M75" s="25"/>
      <c r="N75" s="25"/>
      <c r="O75" s="25"/>
      <c r="P75" s="25"/>
      <c r="Q75" s="25"/>
      <c r="R75" s="25"/>
    </row>
    <row r="76" spans="1:18" ht="12" customHeight="1" x14ac:dyDescent="0.25">
      <c r="A76" s="326" t="s">
        <v>382</v>
      </c>
      <c r="B76" s="325" t="s">
        <v>383</v>
      </c>
      <c r="C76" s="324" t="s">
        <v>84</v>
      </c>
      <c r="D76" s="39" t="str">
        <f>IF(C76="",D74,C76)</f>
        <v>Otros.</v>
      </c>
      <c r="E76" s="35" t="s">
        <v>384</v>
      </c>
      <c r="F76" s="40"/>
      <c r="G76" s="52"/>
      <c r="H76" s="25"/>
      <c r="I76" s="25"/>
      <c r="J76" s="25"/>
      <c r="K76" s="25"/>
      <c r="L76" s="25"/>
      <c r="M76" s="25"/>
      <c r="N76" s="25"/>
      <c r="O76" s="25"/>
      <c r="P76" s="25"/>
      <c r="Q76" s="25"/>
      <c r="R76" s="25"/>
    </row>
    <row r="77" spans="1:18" ht="12" customHeight="1" x14ac:dyDescent="0.25">
      <c r="A77" s="326"/>
      <c r="B77" s="325"/>
      <c r="C77" s="324"/>
      <c r="D77" s="39" t="s">
        <v>385</v>
      </c>
      <c r="E77" s="53" t="s">
        <v>386</v>
      </c>
      <c r="F77" s="40"/>
      <c r="G77" s="52"/>
    </row>
    <row r="78" spans="1:18" ht="12" customHeight="1" x14ac:dyDescent="0.25">
      <c r="A78" s="326"/>
      <c r="B78" s="325"/>
      <c r="C78" s="324"/>
      <c r="D78" s="84" t="str">
        <f>IF(C78="",D77,C78)</f>
        <v>Congestión o acción restringida (accesos limitados)</v>
      </c>
      <c r="E78" s="53"/>
      <c r="F78" s="85"/>
      <c r="G78" s="86"/>
    </row>
    <row r="79" spans="1:18" ht="37.5" customHeight="1" x14ac:dyDescent="0.25">
      <c r="A79" s="326"/>
      <c r="B79" s="325"/>
      <c r="C79" s="324"/>
      <c r="D79" s="84" t="s">
        <v>455</v>
      </c>
      <c r="E79" s="53" t="s">
        <v>322</v>
      </c>
      <c r="F79" s="85"/>
      <c r="G79" s="86"/>
    </row>
    <row r="80" spans="1:18" ht="37.5" customHeight="1" x14ac:dyDescent="0.25">
      <c r="A80" s="326"/>
      <c r="B80" s="325"/>
      <c r="C80" s="324"/>
      <c r="D80" s="84" t="s">
        <v>456</v>
      </c>
      <c r="E80" s="53" t="s">
        <v>457</v>
      </c>
      <c r="F80" s="85"/>
      <c r="G80" s="86"/>
    </row>
    <row r="81" spans="1:7" ht="58.5" customHeight="1" x14ac:dyDescent="0.25">
      <c r="A81" s="326"/>
      <c r="B81" s="325"/>
      <c r="C81" s="324"/>
      <c r="D81" s="39" t="s">
        <v>450</v>
      </c>
      <c r="E81" s="83" t="s">
        <v>451</v>
      </c>
      <c r="F81" s="40" t="s">
        <v>284</v>
      </c>
      <c r="G81" s="48"/>
    </row>
  </sheetData>
  <mergeCells count="17">
    <mergeCell ref="A1:G1"/>
    <mergeCell ref="A71:A74"/>
    <mergeCell ref="A53:A57"/>
    <mergeCell ref="A3:A14"/>
    <mergeCell ref="A15:A27"/>
    <mergeCell ref="A28:A29"/>
    <mergeCell ref="A30:A34"/>
    <mergeCell ref="A35:A52"/>
    <mergeCell ref="C46:C48"/>
    <mergeCell ref="B46:B48"/>
    <mergeCell ref="C58:C61"/>
    <mergeCell ref="B58:B61"/>
    <mergeCell ref="C43:C44"/>
    <mergeCell ref="B43:B44"/>
    <mergeCell ref="C76:C81"/>
    <mergeCell ref="B76:B81"/>
    <mergeCell ref="A76:A81"/>
  </mergeCells>
  <conditionalFormatting sqref="C3:E49 D59:E61 C62:E73 C76:E76">
    <cfRule type="expression" dxfId="4" priority="632">
      <formula>$D3=D4</formula>
    </cfRule>
  </conditionalFormatting>
  <conditionalFormatting sqref="C50:E50 C74:E75">
    <cfRule type="expression" dxfId="3" priority="4454">
      <formula>$D50=D52</formula>
    </cfRule>
  </conditionalFormatting>
  <conditionalFormatting sqref="C51:E58">
    <cfRule type="expression" dxfId="2" priority="1">
      <formula>$D51=D52</formula>
    </cfRule>
  </conditionalFormatting>
  <pageMargins left="0.70866141732283472" right="0.70866141732283472" top="0.74803149606299213" bottom="0.74803149606299213" header="0.31496062992125984" footer="0.31496062992125984"/>
  <pageSetup paperSize="9" scale="32"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C80"/>
  <sheetViews>
    <sheetView topLeftCell="A51" workbookViewId="0">
      <selection activeCell="A73" sqref="A73"/>
    </sheetView>
  </sheetViews>
  <sheetFormatPr baseColWidth="10" defaultColWidth="11.453125" defaultRowHeight="12.5" x14ac:dyDescent="0.25"/>
  <cols>
    <col min="1" max="3" width="81.1796875" bestFit="1" customWidth="1"/>
    <col min="4" max="5" width="80.81640625" bestFit="1" customWidth="1"/>
    <col min="6" max="6" width="13.7265625" bestFit="1" customWidth="1"/>
  </cols>
  <sheetData>
    <row r="1" spans="1:3" x14ac:dyDescent="0.25">
      <c r="A1" t="s">
        <v>158</v>
      </c>
      <c r="B1" t="s">
        <v>387</v>
      </c>
      <c r="C1" t="s">
        <v>159</v>
      </c>
    </row>
    <row r="2" spans="1:3" x14ac:dyDescent="0.25">
      <c r="A2" t="s">
        <v>58</v>
      </c>
      <c r="B2" t="s">
        <v>58</v>
      </c>
      <c r="C2" t="s">
        <v>59</v>
      </c>
    </row>
    <row r="3" spans="1:3" x14ac:dyDescent="0.25">
      <c r="A3" t="s">
        <v>42</v>
      </c>
      <c r="B3" t="s">
        <v>388</v>
      </c>
      <c r="C3" t="s">
        <v>43</v>
      </c>
    </row>
    <row r="4" spans="1:3" x14ac:dyDescent="0.25">
      <c r="A4" t="s">
        <v>168</v>
      </c>
      <c r="B4" t="s">
        <v>389</v>
      </c>
      <c r="C4" t="s">
        <v>169</v>
      </c>
    </row>
    <row r="5" spans="1:3" x14ac:dyDescent="0.25">
      <c r="A5" t="s">
        <v>44</v>
      </c>
      <c r="B5" t="s">
        <v>390</v>
      </c>
      <c r="C5" t="s">
        <v>45</v>
      </c>
    </row>
    <row r="6" spans="1:3" x14ac:dyDescent="0.25">
      <c r="A6" t="s">
        <v>175</v>
      </c>
      <c r="B6" t="s">
        <v>391</v>
      </c>
      <c r="C6" t="s">
        <v>45</v>
      </c>
    </row>
    <row r="7" spans="1:3" x14ac:dyDescent="0.25">
      <c r="A7" t="s">
        <v>178</v>
      </c>
      <c r="B7" t="s">
        <v>392</v>
      </c>
      <c r="C7" t="s">
        <v>179</v>
      </c>
    </row>
    <row r="8" spans="1:3" x14ac:dyDescent="0.25">
      <c r="A8" t="s">
        <v>182</v>
      </c>
      <c r="B8" t="s">
        <v>393</v>
      </c>
      <c r="C8" t="s">
        <v>45</v>
      </c>
    </row>
    <row r="9" spans="1:3" x14ac:dyDescent="0.25">
      <c r="A9" t="s">
        <v>81</v>
      </c>
      <c r="B9" t="s">
        <v>394</v>
      </c>
      <c r="C9" t="s">
        <v>185</v>
      </c>
    </row>
    <row r="10" spans="1:3" x14ac:dyDescent="0.25">
      <c r="A10" t="s">
        <v>48</v>
      </c>
      <c r="B10" t="s">
        <v>395</v>
      </c>
      <c r="C10" t="s">
        <v>49</v>
      </c>
    </row>
    <row r="11" spans="1:3" x14ac:dyDescent="0.25">
      <c r="A11" t="s">
        <v>190</v>
      </c>
      <c r="B11" t="s">
        <v>396</v>
      </c>
      <c r="C11" t="s">
        <v>191</v>
      </c>
    </row>
    <row r="12" spans="1:3" x14ac:dyDescent="0.25">
      <c r="A12" t="s">
        <v>79</v>
      </c>
      <c r="B12" t="s">
        <v>397</v>
      </c>
      <c r="C12" t="s">
        <v>80</v>
      </c>
    </row>
    <row r="13" spans="1:3" x14ac:dyDescent="0.25">
      <c r="A13" t="s">
        <v>196</v>
      </c>
      <c r="B13" t="s">
        <v>196</v>
      </c>
      <c r="C13" t="s">
        <v>197</v>
      </c>
    </row>
    <row r="14" spans="1:3" x14ac:dyDescent="0.25">
      <c r="A14" t="s">
        <v>67</v>
      </c>
      <c r="B14" t="s">
        <v>398</v>
      </c>
      <c r="C14" t="s">
        <v>53</v>
      </c>
    </row>
    <row r="15" spans="1:3" x14ac:dyDescent="0.25">
      <c r="A15" t="s">
        <v>203</v>
      </c>
      <c r="B15" t="s">
        <v>399</v>
      </c>
      <c r="C15" t="s">
        <v>204</v>
      </c>
    </row>
    <row r="16" spans="1:3" x14ac:dyDescent="0.25">
      <c r="A16" t="s">
        <v>207</v>
      </c>
      <c r="B16" t="s">
        <v>400</v>
      </c>
      <c r="C16" t="s">
        <v>208</v>
      </c>
    </row>
    <row r="17" spans="1:3" x14ac:dyDescent="0.25">
      <c r="A17" t="s">
        <v>211</v>
      </c>
      <c r="B17" t="s">
        <v>401</v>
      </c>
      <c r="C17" t="s">
        <v>212</v>
      </c>
    </row>
    <row r="18" spans="1:3" x14ac:dyDescent="0.25">
      <c r="A18" t="s">
        <v>215</v>
      </c>
      <c r="B18" t="s">
        <v>402</v>
      </c>
      <c r="C18" t="s">
        <v>216</v>
      </c>
    </row>
    <row r="19" spans="1:3" x14ac:dyDescent="0.25">
      <c r="A19" t="s">
        <v>219</v>
      </c>
      <c r="B19" t="s">
        <v>403</v>
      </c>
      <c r="C19" t="s">
        <v>220</v>
      </c>
    </row>
    <row r="20" spans="1:3" x14ac:dyDescent="0.25">
      <c r="A20" t="s">
        <v>223</v>
      </c>
      <c r="B20" t="s">
        <v>404</v>
      </c>
      <c r="C20" t="s">
        <v>224</v>
      </c>
    </row>
    <row r="21" spans="1:3" x14ac:dyDescent="0.25">
      <c r="A21" t="s">
        <v>227</v>
      </c>
      <c r="B21" t="s">
        <v>405</v>
      </c>
      <c r="C21" t="s">
        <v>228</v>
      </c>
    </row>
    <row r="22" spans="1:3" x14ac:dyDescent="0.25">
      <c r="A22" t="s">
        <v>231</v>
      </c>
      <c r="B22" t="s">
        <v>406</v>
      </c>
      <c r="C22" t="s">
        <v>232</v>
      </c>
    </row>
    <row r="23" spans="1:3" x14ac:dyDescent="0.25">
      <c r="A23" t="s">
        <v>235</v>
      </c>
      <c r="B23" t="s">
        <v>407</v>
      </c>
      <c r="C23" t="s">
        <v>236</v>
      </c>
    </row>
    <row r="24" spans="1:3" x14ac:dyDescent="0.25">
      <c r="A24" t="s">
        <v>239</v>
      </c>
      <c r="B24" t="s">
        <v>408</v>
      </c>
      <c r="C24" t="s">
        <v>240</v>
      </c>
    </row>
    <row r="25" spans="1:3" x14ac:dyDescent="0.25">
      <c r="A25" t="s">
        <v>243</v>
      </c>
      <c r="B25" t="s">
        <v>409</v>
      </c>
      <c r="C25" t="s">
        <v>244</v>
      </c>
    </row>
    <row r="26" spans="1:3" x14ac:dyDescent="0.25">
      <c r="A26" t="s">
        <v>247</v>
      </c>
      <c r="B26" t="s">
        <v>410</v>
      </c>
      <c r="C26" t="s">
        <v>248</v>
      </c>
    </row>
    <row r="27" spans="1:3" x14ac:dyDescent="0.25">
      <c r="A27" t="s">
        <v>60</v>
      </c>
      <c r="B27" t="s">
        <v>411</v>
      </c>
      <c r="C27" t="s">
        <v>32</v>
      </c>
    </row>
    <row r="28" spans="1:3" x14ac:dyDescent="0.25">
      <c r="A28" t="s">
        <v>254</v>
      </c>
      <c r="B28" t="s">
        <v>412</v>
      </c>
      <c r="C28" t="s">
        <v>255</v>
      </c>
    </row>
    <row r="29" spans="1:3" x14ac:dyDescent="0.25">
      <c r="A29" t="s">
        <v>54</v>
      </c>
      <c r="B29" t="s">
        <v>413</v>
      </c>
      <c r="C29" t="s">
        <v>55</v>
      </c>
    </row>
    <row r="30" spans="1:3" x14ac:dyDescent="0.25">
      <c r="A30" t="s">
        <v>63</v>
      </c>
      <c r="B30" t="s">
        <v>414</v>
      </c>
      <c r="C30" t="s">
        <v>64</v>
      </c>
    </row>
    <row r="31" spans="1:3" x14ac:dyDescent="0.25">
      <c r="A31" t="s">
        <v>65</v>
      </c>
      <c r="B31" t="s">
        <v>415</v>
      </c>
      <c r="C31" t="s">
        <v>66</v>
      </c>
    </row>
    <row r="32" spans="1:3" x14ac:dyDescent="0.25">
      <c r="A32" t="s">
        <v>35</v>
      </c>
      <c r="B32" t="s">
        <v>416</v>
      </c>
      <c r="C32" t="s">
        <v>36</v>
      </c>
    </row>
    <row r="33" spans="1:3" x14ac:dyDescent="0.25">
      <c r="A33" t="s">
        <v>266</v>
      </c>
      <c r="B33" t="s">
        <v>417</v>
      </c>
      <c r="C33" t="s">
        <v>267</v>
      </c>
    </row>
    <row r="34" spans="1:3" x14ac:dyDescent="0.25">
      <c r="A34" t="s">
        <v>271</v>
      </c>
      <c r="B34" t="s">
        <v>418</v>
      </c>
      <c r="C34" t="s">
        <v>272</v>
      </c>
    </row>
    <row r="35" spans="1:3" x14ac:dyDescent="0.25">
      <c r="A35" t="s">
        <v>82</v>
      </c>
      <c r="B35" t="s">
        <v>419</v>
      </c>
      <c r="C35" t="s">
        <v>83</v>
      </c>
    </row>
    <row r="36" spans="1:3" x14ac:dyDescent="0.25">
      <c r="A36" t="s">
        <v>277</v>
      </c>
      <c r="B36" t="s">
        <v>420</v>
      </c>
      <c r="C36" t="s">
        <v>278</v>
      </c>
    </row>
    <row r="37" spans="1:3" x14ac:dyDescent="0.25">
      <c r="A37" t="s">
        <v>56</v>
      </c>
      <c r="B37" t="s">
        <v>421</v>
      </c>
      <c r="C37" t="s">
        <v>57</v>
      </c>
    </row>
    <row r="38" spans="1:3" x14ac:dyDescent="0.25">
      <c r="A38" t="s">
        <v>283</v>
      </c>
      <c r="B38" t="s">
        <v>422</v>
      </c>
      <c r="C38" t="s">
        <v>69</v>
      </c>
    </row>
    <row r="39" spans="1:3" x14ac:dyDescent="0.25">
      <c r="A39" t="s">
        <v>74</v>
      </c>
      <c r="B39" t="s">
        <v>423</v>
      </c>
      <c r="C39" t="s">
        <v>75</v>
      </c>
    </row>
    <row r="40" spans="1:3" x14ac:dyDescent="0.25">
      <c r="A40" t="s">
        <v>288</v>
      </c>
      <c r="B40" t="s">
        <v>424</v>
      </c>
      <c r="C40" t="s">
        <v>289</v>
      </c>
    </row>
    <row r="41" spans="1:3" x14ac:dyDescent="0.25">
      <c r="A41" t="s">
        <v>85</v>
      </c>
      <c r="B41" t="s">
        <v>425</v>
      </c>
      <c r="C41" t="s">
        <v>86</v>
      </c>
    </row>
    <row r="42" spans="1:3" x14ac:dyDescent="0.25">
      <c r="A42" t="s">
        <v>294</v>
      </c>
      <c r="B42" t="s">
        <v>426</v>
      </c>
      <c r="C42" t="s">
        <v>295</v>
      </c>
    </row>
    <row r="43" spans="1:3" x14ac:dyDescent="0.25">
      <c r="A43" t="s">
        <v>294</v>
      </c>
      <c r="B43" t="s">
        <v>426</v>
      </c>
      <c r="C43" t="s">
        <v>232</v>
      </c>
    </row>
    <row r="44" spans="1:3" x14ac:dyDescent="0.25">
      <c r="A44" t="s">
        <v>299</v>
      </c>
      <c r="B44" t="s">
        <v>427</v>
      </c>
      <c r="C44" t="s">
        <v>300</v>
      </c>
    </row>
    <row r="45" spans="1:3" x14ac:dyDescent="0.25">
      <c r="A45" t="s">
        <v>303</v>
      </c>
      <c r="B45" t="s">
        <v>303</v>
      </c>
      <c r="C45" t="s">
        <v>304</v>
      </c>
    </row>
    <row r="46" spans="1:3" x14ac:dyDescent="0.25">
      <c r="A46" t="s">
        <v>303</v>
      </c>
      <c r="B46" t="s">
        <v>303</v>
      </c>
      <c r="C46" t="s">
        <v>306</v>
      </c>
    </row>
    <row r="47" spans="1:3" x14ac:dyDescent="0.25">
      <c r="A47" t="s">
        <v>303</v>
      </c>
      <c r="B47" t="s">
        <v>303</v>
      </c>
      <c r="C47" t="s">
        <v>308</v>
      </c>
    </row>
    <row r="48" spans="1:3" x14ac:dyDescent="0.25">
      <c r="A48" t="s">
        <v>311</v>
      </c>
      <c r="B48" t="s">
        <v>428</v>
      </c>
      <c r="C48" t="s">
        <v>312</v>
      </c>
    </row>
    <row r="49" spans="1:3" x14ac:dyDescent="0.25">
      <c r="A49" t="s">
        <v>315</v>
      </c>
      <c r="B49" t="s">
        <v>429</v>
      </c>
      <c r="C49" t="s">
        <v>316</v>
      </c>
    </row>
    <row r="50" spans="1:3" x14ac:dyDescent="0.25">
      <c r="A50" t="s">
        <v>40</v>
      </c>
      <c r="B50" t="s">
        <v>430</v>
      </c>
      <c r="C50" t="s">
        <v>41</v>
      </c>
    </row>
    <row r="51" spans="1:3" x14ac:dyDescent="0.25">
      <c r="A51" t="s">
        <v>321</v>
      </c>
      <c r="B51" t="s">
        <v>694</v>
      </c>
      <c r="C51" t="s">
        <v>322</v>
      </c>
    </row>
    <row r="52" spans="1:3" x14ac:dyDescent="0.25">
      <c r="A52" t="s">
        <v>325</v>
      </c>
      <c r="B52" t="s">
        <v>325</v>
      </c>
      <c r="C52" t="s">
        <v>326</v>
      </c>
    </row>
    <row r="53" spans="1:3" x14ac:dyDescent="0.25">
      <c r="A53" t="s">
        <v>329</v>
      </c>
      <c r="B53" t="s">
        <v>431</v>
      </c>
      <c r="C53" t="s">
        <v>326</v>
      </c>
    </row>
    <row r="54" spans="1:3" x14ac:dyDescent="0.25">
      <c r="A54" t="s">
        <v>332</v>
      </c>
      <c r="B54" t="s">
        <v>432</v>
      </c>
      <c r="C54" t="s">
        <v>326</v>
      </c>
    </row>
    <row r="55" spans="1:3" x14ac:dyDescent="0.25">
      <c r="A55" t="s">
        <v>334</v>
      </c>
      <c r="B55" t="s">
        <v>433</v>
      </c>
      <c r="C55" t="s">
        <v>326</v>
      </c>
    </row>
    <row r="56" spans="1:3" x14ac:dyDescent="0.25">
      <c r="A56" t="s">
        <v>337</v>
      </c>
      <c r="B56" t="s">
        <v>434</v>
      </c>
      <c r="C56" t="s">
        <v>326</v>
      </c>
    </row>
    <row r="57" spans="1:3" x14ac:dyDescent="0.25">
      <c r="A57" t="s">
        <v>61</v>
      </c>
      <c r="B57" t="s">
        <v>435</v>
      </c>
      <c r="C57" t="s">
        <v>62</v>
      </c>
    </row>
    <row r="58" spans="1:3" x14ac:dyDescent="0.25">
      <c r="A58" t="s">
        <v>61</v>
      </c>
      <c r="B58" t="s">
        <v>435</v>
      </c>
      <c r="C58" t="s">
        <v>341</v>
      </c>
    </row>
    <row r="59" spans="1:3" x14ac:dyDescent="0.25">
      <c r="A59" t="s">
        <v>61</v>
      </c>
      <c r="B59" t="s">
        <v>435</v>
      </c>
      <c r="C59" t="s">
        <v>343</v>
      </c>
    </row>
    <row r="60" spans="1:3" x14ac:dyDescent="0.25">
      <c r="A60" t="s">
        <v>61</v>
      </c>
      <c r="B60" t="s">
        <v>435</v>
      </c>
      <c r="C60" t="s">
        <v>345</v>
      </c>
    </row>
    <row r="61" spans="1:3" x14ac:dyDescent="0.25">
      <c r="A61" t="s">
        <v>348</v>
      </c>
      <c r="B61" t="s">
        <v>436</v>
      </c>
      <c r="C61" t="s">
        <v>232</v>
      </c>
    </row>
    <row r="62" spans="1:3" x14ac:dyDescent="0.25">
      <c r="A62" t="s">
        <v>351</v>
      </c>
      <c r="B62" t="s">
        <v>437</v>
      </c>
      <c r="C62" t="s">
        <v>232</v>
      </c>
    </row>
    <row r="63" spans="1:3" x14ac:dyDescent="0.25">
      <c r="A63" t="s">
        <v>70</v>
      </c>
      <c r="B63" t="s">
        <v>438</v>
      </c>
      <c r="C63" t="s">
        <v>71</v>
      </c>
    </row>
    <row r="64" spans="1:3" x14ac:dyDescent="0.25">
      <c r="A64" t="s">
        <v>355</v>
      </c>
      <c r="B64" t="s">
        <v>439</v>
      </c>
      <c r="C64" t="s">
        <v>449</v>
      </c>
    </row>
    <row r="65" spans="1:3" x14ac:dyDescent="0.25">
      <c r="A65" t="s">
        <v>358</v>
      </c>
      <c r="B65" t="s">
        <v>440</v>
      </c>
      <c r="C65" t="s">
        <v>359</v>
      </c>
    </row>
    <row r="66" spans="1:3" x14ac:dyDescent="0.25">
      <c r="A66" t="s">
        <v>362</v>
      </c>
      <c r="B66" t="s">
        <v>441</v>
      </c>
      <c r="C66" t="s">
        <v>363</v>
      </c>
    </row>
    <row r="67" spans="1:3" x14ac:dyDescent="0.25">
      <c r="A67" t="s">
        <v>366</v>
      </c>
      <c r="B67" t="s">
        <v>442</v>
      </c>
      <c r="C67" t="s">
        <v>367</v>
      </c>
    </row>
    <row r="68" spans="1:3" x14ac:dyDescent="0.25">
      <c r="A68" t="s">
        <v>50</v>
      </c>
      <c r="B68" t="s">
        <v>443</v>
      </c>
      <c r="C68" s="81" t="s">
        <v>51</v>
      </c>
    </row>
    <row r="69" spans="1:3" x14ac:dyDescent="0.25">
      <c r="A69" t="s">
        <v>68</v>
      </c>
      <c r="B69" t="s">
        <v>444</v>
      </c>
      <c r="C69" t="s">
        <v>69</v>
      </c>
    </row>
    <row r="70" spans="1:3" x14ac:dyDescent="0.25">
      <c r="A70" t="s">
        <v>46</v>
      </c>
      <c r="B70" t="s">
        <v>445</v>
      </c>
      <c r="C70" t="s">
        <v>47</v>
      </c>
    </row>
    <row r="71" spans="1:3" x14ac:dyDescent="0.25">
      <c r="A71" t="s">
        <v>375</v>
      </c>
      <c r="B71" t="s">
        <v>446</v>
      </c>
      <c r="C71" s="81" t="s">
        <v>376</v>
      </c>
    </row>
    <row r="72" spans="1:3" x14ac:dyDescent="0.25">
      <c r="A72" t="s">
        <v>77</v>
      </c>
      <c r="B72" t="s">
        <v>77</v>
      </c>
      <c r="C72" t="s">
        <v>78</v>
      </c>
    </row>
    <row r="73" spans="1:3" x14ac:dyDescent="0.25">
      <c r="A73" s="81" t="s">
        <v>52</v>
      </c>
      <c r="B73" s="81" t="s">
        <v>447</v>
      </c>
      <c r="C73" s="81" t="s">
        <v>76</v>
      </c>
    </row>
    <row r="74" spans="1:3" x14ac:dyDescent="0.25">
      <c r="A74" t="s">
        <v>453</v>
      </c>
      <c r="B74" t="s">
        <v>695</v>
      </c>
      <c r="C74" t="s">
        <v>454</v>
      </c>
    </row>
    <row r="75" spans="1:3" x14ac:dyDescent="0.25">
      <c r="A75" t="s">
        <v>84</v>
      </c>
      <c r="B75" t="s">
        <v>448</v>
      </c>
      <c r="C75" t="s">
        <v>384</v>
      </c>
    </row>
    <row r="76" spans="1:3" x14ac:dyDescent="0.25">
      <c r="A76" t="s">
        <v>385</v>
      </c>
      <c r="B76" t="s">
        <v>696</v>
      </c>
      <c r="C76" t="s">
        <v>386</v>
      </c>
    </row>
    <row r="77" spans="1:3" x14ac:dyDescent="0.25">
      <c r="A77" t="s">
        <v>385</v>
      </c>
      <c r="B77" t="s">
        <v>696</v>
      </c>
    </row>
    <row r="78" spans="1:3" x14ac:dyDescent="0.25">
      <c r="A78" t="s">
        <v>455</v>
      </c>
      <c r="B78" t="s">
        <v>697</v>
      </c>
      <c r="C78" t="s">
        <v>322</v>
      </c>
    </row>
    <row r="79" spans="1:3" x14ac:dyDescent="0.25">
      <c r="A79" t="s">
        <v>456</v>
      </c>
      <c r="B79" t="s">
        <v>698</v>
      </c>
      <c r="C79" t="s">
        <v>457</v>
      </c>
    </row>
    <row r="80" spans="1:3" x14ac:dyDescent="0.25">
      <c r="A80" t="s">
        <v>450</v>
      </c>
      <c r="B80" t="s">
        <v>699</v>
      </c>
      <c r="C80" t="s">
        <v>451</v>
      </c>
    </row>
  </sheetData>
  <phoneticPr fontId="23" type="noConversion"/>
  <conditionalFormatting sqref="A2:A80">
    <cfRule type="duplicateValues" dxfId="1" priority="4455"/>
  </conditionalFormatting>
  <conditionalFormatting sqref="B73">
    <cfRule type="duplicateValues" dxfId="0" priority="1"/>
  </conditionalFormatting>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73"/>
  <sheetViews>
    <sheetView topLeftCell="A44" workbookViewId="0">
      <selection activeCell="B67" sqref="B67"/>
    </sheetView>
  </sheetViews>
  <sheetFormatPr baseColWidth="10" defaultColWidth="11.453125" defaultRowHeight="12.5" x14ac:dyDescent="0.25"/>
  <cols>
    <col min="1" max="1" width="81.1796875" bestFit="1" customWidth="1"/>
  </cols>
  <sheetData>
    <row r="1" spans="1:1" x14ac:dyDescent="0.25">
      <c r="A1" t="s">
        <v>158</v>
      </c>
    </row>
    <row r="2" spans="1:1" x14ac:dyDescent="0.25">
      <c r="A2" t="s">
        <v>58</v>
      </c>
    </row>
    <row r="3" spans="1:1" x14ac:dyDescent="0.25">
      <c r="A3" t="s">
        <v>42</v>
      </c>
    </row>
    <row r="4" spans="1:1" x14ac:dyDescent="0.25">
      <c r="A4" t="s">
        <v>168</v>
      </c>
    </row>
    <row r="5" spans="1:1" x14ac:dyDescent="0.25">
      <c r="A5" t="s">
        <v>44</v>
      </c>
    </row>
    <row r="6" spans="1:1" x14ac:dyDescent="0.25">
      <c r="A6" t="s">
        <v>175</v>
      </c>
    </row>
    <row r="7" spans="1:1" x14ac:dyDescent="0.25">
      <c r="A7" t="s">
        <v>178</v>
      </c>
    </row>
    <row r="8" spans="1:1" x14ac:dyDescent="0.25">
      <c r="A8" t="s">
        <v>182</v>
      </c>
    </row>
    <row r="9" spans="1:1" x14ac:dyDescent="0.25">
      <c r="A9" t="s">
        <v>81</v>
      </c>
    </row>
    <row r="10" spans="1:1" x14ac:dyDescent="0.25">
      <c r="A10" t="s">
        <v>48</v>
      </c>
    </row>
    <row r="11" spans="1:1" x14ac:dyDescent="0.25">
      <c r="A11" t="s">
        <v>190</v>
      </c>
    </row>
    <row r="12" spans="1:1" x14ac:dyDescent="0.25">
      <c r="A12" t="s">
        <v>79</v>
      </c>
    </row>
    <row r="13" spans="1:1" x14ac:dyDescent="0.25">
      <c r="A13" t="s">
        <v>196</v>
      </c>
    </row>
    <row r="14" spans="1:1" x14ac:dyDescent="0.25">
      <c r="A14" t="s">
        <v>67</v>
      </c>
    </row>
    <row r="15" spans="1:1" x14ac:dyDescent="0.25">
      <c r="A15" t="s">
        <v>203</v>
      </c>
    </row>
    <row r="16" spans="1:1" x14ac:dyDescent="0.25">
      <c r="A16" t="s">
        <v>207</v>
      </c>
    </row>
    <row r="17" spans="1:1" x14ac:dyDescent="0.25">
      <c r="A17" t="s">
        <v>211</v>
      </c>
    </row>
    <row r="18" spans="1:1" x14ac:dyDescent="0.25">
      <c r="A18" t="s">
        <v>215</v>
      </c>
    </row>
    <row r="19" spans="1:1" x14ac:dyDescent="0.25">
      <c r="A19" t="s">
        <v>219</v>
      </c>
    </row>
    <row r="20" spans="1:1" x14ac:dyDescent="0.25">
      <c r="A20" t="s">
        <v>223</v>
      </c>
    </row>
    <row r="21" spans="1:1" x14ac:dyDescent="0.25">
      <c r="A21" t="s">
        <v>227</v>
      </c>
    </row>
    <row r="22" spans="1:1" x14ac:dyDescent="0.25">
      <c r="A22" t="s">
        <v>231</v>
      </c>
    </row>
    <row r="23" spans="1:1" x14ac:dyDescent="0.25">
      <c r="A23" t="s">
        <v>235</v>
      </c>
    </row>
    <row r="24" spans="1:1" x14ac:dyDescent="0.25">
      <c r="A24" t="s">
        <v>239</v>
      </c>
    </row>
    <row r="25" spans="1:1" x14ac:dyDescent="0.25">
      <c r="A25" t="s">
        <v>243</v>
      </c>
    </row>
    <row r="26" spans="1:1" x14ac:dyDescent="0.25">
      <c r="A26" t="s">
        <v>247</v>
      </c>
    </row>
    <row r="27" spans="1:1" x14ac:dyDescent="0.25">
      <c r="A27" t="s">
        <v>60</v>
      </c>
    </row>
    <row r="28" spans="1:1" x14ac:dyDescent="0.25">
      <c r="A28" t="s">
        <v>254</v>
      </c>
    </row>
    <row r="29" spans="1:1" x14ac:dyDescent="0.25">
      <c r="A29" t="s">
        <v>54</v>
      </c>
    </row>
    <row r="30" spans="1:1" x14ac:dyDescent="0.25">
      <c r="A30" t="s">
        <v>63</v>
      </c>
    </row>
    <row r="31" spans="1:1" x14ac:dyDescent="0.25">
      <c r="A31" t="s">
        <v>65</v>
      </c>
    </row>
    <row r="32" spans="1:1" x14ac:dyDescent="0.25">
      <c r="A32" t="s">
        <v>35</v>
      </c>
    </row>
    <row r="33" spans="1:1" x14ac:dyDescent="0.25">
      <c r="A33" t="s">
        <v>266</v>
      </c>
    </row>
    <row r="34" spans="1:1" x14ac:dyDescent="0.25">
      <c r="A34" t="s">
        <v>271</v>
      </c>
    </row>
    <row r="35" spans="1:1" x14ac:dyDescent="0.25">
      <c r="A35" t="s">
        <v>82</v>
      </c>
    </row>
    <row r="36" spans="1:1" x14ac:dyDescent="0.25">
      <c r="A36" t="s">
        <v>277</v>
      </c>
    </row>
    <row r="37" spans="1:1" x14ac:dyDescent="0.25">
      <c r="A37" t="s">
        <v>56</v>
      </c>
    </row>
    <row r="38" spans="1:1" x14ac:dyDescent="0.25">
      <c r="A38" t="s">
        <v>283</v>
      </c>
    </row>
    <row r="39" spans="1:1" x14ac:dyDescent="0.25">
      <c r="A39" t="s">
        <v>74</v>
      </c>
    </row>
    <row r="40" spans="1:1" x14ac:dyDescent="0.25">
      <c r="A40" t="s">
        <v>288</v>
      </c>
    </row>
    <row r="41" spans="1:1" x14ac:dyDescent="0.25">
      <c r="A41" t="s">
        <v>85</v>
      </c>
    </row>
    <row r="42" spans="1:1" x14ac:dyDescent="0.25">
      <c r="A42" t="s">
        <v>294</v>
      </c>
    </row>
    <row r="43" spans="1:1" x14ac:dyDescent="0.25">
      <c r="A43" t="s">
        <v>299</v>
      </c>
    </row>
    <row r="44" spans="1:1" x14ac:dyDescent="0.25">
      <c r="A44" t="s">
        <v>303</v>
      </c>
    </row>
    <row r="45" spans="1:1" x14ac:dyDescent="0.25">
      <c r="A45" t="s">
        <v>311</v>
      </c>
    </row>
    <row r="46" spans="1:1" x14ac:dyDescent="0.25">
      <c r="A46" t="s">
        <v>315</v>
      </c>
    </row>
    <row r="47" spans="1:1" x14ac:dyDescent="0.25">
      <c r="A47" t="s">
        <v>40</v>
      </c>
    </row>
    <row r="48" spans="1:1" x14ac:dyDescent="0.25">
      <c r="A48" t="s">
        <v>321</v>
      </c>
    </row>
    <row r="49" spans="1:1" x14ac:dyDescent="0.25">
      <c r="A49" t="s">
        <v>325</v>
      </c>
    </row>
    <row r="50" spans="1:1" x14ac:dyDescent="0.25">
      <c r="A50" t="s">
        <v>329</v>
      </c>
    </row>
    <row r="51" spans="1:1" x14ac:dyDescent="0.25">
      <c r="A51" t="s">
        <v>332</v>
      </c>
    </row>
    <row r="52" spans="1:1" x14ac:dyDescent="0.25">
      <c r="A52" t="s">
        <v>334</v>
      </c>
    </row>
    <row r="53" spans="1:1" x14ac:dyDescent="0.25">
      <c r="A53" t="s">
        <v>337</v>
      </c>
    </row>
    <row r="54" spans="1:1" x14ac:dyDescent="0.25">
      <c r="A54" t="s">
        <v>61</v>
      </c>
    </row>
    <row r="55" spans="1:1" x14ac:dyDescent="0.25">
      <c r="A55" t="s">
        <v>348</v>
      </c>
    </row>
    <row r="56" spans="1:1" x14ac:dyDescent="0.25">
      <c r="A56" t="s">
        <v>351</v>
      </c>
    </row>
    <row r="57" spans="1:1" x14ac:dyDescent="0.25">
      <c r="A57" t="s">
        <v>70</v>
      </c>
    </row>
    <row r="58" spans="1:1" x14ac:dyDescent="0.25">
      <c r="A58" t="s">
        <v>355</v>
      </c>
    </row>
    <row r="59" spans="1:1" x14ac:dyDescent="0.25">
      <c r="A59" t="s">
        <v>358</v>
      </c>
    </row>
    <row r="60" spans="1:1" x14ac:dyDescent="0.25">
      <c r="A60" t="s">
        <v>362</v>
      </c>
    </row>
    <row r="61" spans="1:1" x14ac:dyDescent="0.25">
      <c r="A61" t="s">
        <v>366</v>
      </c>
    </row>
    <row r="62" spans="1:1" x14ac:dyDescent="0.25">
      <c r="A62" t="s">
        <v>50</v>
      </c>
    </row>
    <row r="63" spans="1:1" x14ac:dyDescent="0.25">
      <c r="A63" t="s">
        <v>68</v>
      </c>
    </row>
    <row r="64" spans="1:1" x14ac:dyDescent="0.25">
      <c r="A64" t="s">
        <v>46</v>
      </c>
    </row>
    <row r="65" spans="1:1" x14ac:dyDescent="0.25">
      <c r="A65" t="s">
        <v>375</v>
      </c>
    </row>
    <row r="66" spans="1:1" x14ac:dyDescent="0.25">
      <c r="A66" t="s">
        <v>77</v>
      </c>
    </row>
    <row r="67" spans="1:1" x14ac:dyDescent="0.25">
      <c r="A67" s="81" t="s">
        <v>52</v>
      </c>
    </row>
    <row r="68" spans="1:1" x14ac:dyDescent="0.25">
      <c r="A68" t="s">
        <v>453</v>
      </c>
    </row>
    <row r="69" spans="1:1" x14ac:dyDescent="0.25">
      <c r="A69" t="s">
        <v>84</v>
      </c>
    </row>
    <row r="70" spans="1:1" x14ac:dyDescent="0.25">
      <c r="A70" t="s">
        <v>385</v>
      </c>
    </row>
    <row r="71" spans="1:1" x14ac:dyDescent="0.25">
      <c r="A71" t="s">
        <v>455</v>
      </c>
    </row>
    <row r="72" spans="1:1" x14ac:dyDescent="0.25">
      <c r="A72" t="s">
        <v>456</v>
      </c>
    </row>
    <row r="73" spans="1:1" x14ac:dyDescent="0.25">
      <c r="A73" t="s">
        <v>450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453ae56-4dff-42cc-941b-1059c30f8305">
      <Terms xmlns="http://schemas.microsoft.com/office/infopath/2007/PartnerControls"/>
    </lcf76f155ced4ddcb4097134ff3c332f>
    <TaxCatchAll xmlns="fe354fcb-f455-4b80-a0b4-263e3451381a"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o" ma:contentTypeID="0x0101006108C44420C3A34F9DF7A04F75386BAA" ma:contentTypeVersion="13" ma:contentTypeDescription="Crear nuevo documento." ma:contentTypeScope="" ma:versionID="cda4e5ba3403c41f0d81d2d99ac9a750">
  <xsd:schema xmlns:xsd="http://www.w3.org/2001/XMLSchema" xmlns:xs="http://www.w3.org/2001/XMLSchema" xmlns:p="http://schemas.microsoft.com/office/2006/metadata/properties" xmlns:ns2="9453ae56-4dff-42cc-941b-1059c30f8305" xmlns:ns3="fe354fcb-f455-4b80-a0b4-263e3451381a" targetNamespace="http://schemas.microsoft.com/office/2006/metadata/properties" ma:root="true" ma:fieldsID="95696cf4ff67b31f7e1ac1c9b57784ad" ns2:_="" ns3:_="">
    <xsd:import namespace="9453ae56-4dff-42cc-941b-1059c30f8305"/>
    <xsd:import namespace="fe354fcb-f455-4b80-a0b4-263e3451381a"/>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53ae56-4dff-42cc-941b-1059c30f83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c6173fc7-3670-4808-a16e-7de7abb64c2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354fcb-f455-4b80-a0b4-263e3451381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05e580db-6f87-4262-89af-eaf45347d481}" ma:internalName="TaxCatchAll" ma:showField="CatchAllData" ma:web="fe354fcb-f455-4b80-a0b4-263e345138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B1BB313-D424-4ED2-9333-1C4F0EA5F9E4}">
  <ds:schemaRefs>
    <ds:schemaRef ds:uri="http://schemas.microsoft.com/DataMashup"/>
  </ds:schemaRefs>
</ds:datastoreItem>
</file>

<file path=customXml/itemProps2.xml><?xml version="1.0" encoding="utf-8"?>
<ds:datastoreItem xmlns:ds="http://schemas.openxmlformats.org/officeDocument/2006/customXml" ds:itemID="{A07F9C9C-85C3-4ADB-9503-E940BE95EC30}">
  <ds:schemaRefs>
    <ds:schemaRef ds:uri="http://schemas.microsoft.com/PowerBIAddIn"/>
  </ds:schemaRefs>
</ds:datastoreItem>
</file>

<file path=customXml/itemProps3.xml><?xml version="1.0" encoding="utf-8"?>
<ds:datastoreItem xmlns:ds="http://schemas.openxmlformats.org/officeDocument/2006/customXml" ds:itemID="{40397CB4-25FB-4BE7-819A-591678DC52A2}">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9453ae56-4dff-42cc-941b-1059c30f8305"/>
    <ds:schemaRef ds:uri="http://schemas.openxmlformats.org/package/2006/metadata/core-properties"/>
    <ds:schemaRef ds:uri="fe354fcb-f455-4b80-a0b4-263e3451381a"/>
    <ds:schemaRef ds:uri="http://purl.org/dc/dcmitype/"/>
    <ds:schemaRef ds:uri="http://purl.org/dc/terms/"/>
  </ds:schemaRefs>
</ds:datastoreItem>
</file>

<file path=customXml/itemProps4.xml><?xml version="1.0" encoding="utf-8"?>
<ds:datastoreItem xmlns:ds="http://schemas.openxmlformats.org/officeDocument/2006/customXml" ds:itemID="{5D9B8347-7EEC-4DB1-AB26-BCBA5830BB30}">
  <ds:schemaRefs>
    <ds:schemaRef ds:uri="http://schemas.microsoft.com/sharepoint/v3/contenttype/forms"/>
  </ds:schemaRefs>
</ds:datastoreItem>
</file>

<file path=customXml/itemProps5.xml><?xml version="1.0" encoding="utf-8"?>
<ds:datastoreItem xmlns:ds="http://schemas.openxmlformats.org/officeDocument/2006/customXml" ds:itemID="{4B138028-02B1-4DFC-BC08-91E102FC40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53ae56-4dff-42cc-941b-1059c30f8305"/>
    <ds:schemaRef ds:uri="fe354fcb-f455-4b80-a0b4-263e345138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72</vt:i4>
      </vt:variant>
    </vt:vector>
  </HeadingPairs>
  <TitlesOfParts>
    <vt:vector size="78" baseType="lpstr">
      <vt:lpstr>JU-SSO-STG-006.F02</vt:lpstr>
      <vt:lpstr>LIST P&amp;R</vt:lpstr>
      <vt:lpstr>Matriz de evaluación</vt:lpstr>
      <vt:lpstr>1</vt:lpstr>
      <vt:lpstr>PEL_RIESGOS</vt:lpstr>
      <vt:lpstr>PELIGROS</vt:lpstr>
      <vt:lpstr>Aberturas_en_pisos__plataformas__pasillos__open_hole__</vt:lpstr>
      <vt:lpstr>Acoso_y_hostigamiento_sexual</vt:lpstr>
      <vt:lpstr>Agentes_Biológicos__virus__mohos__hongos__bacterias_parásitos_gastrointestinales_etc__</vt:lpstr>
      <vt:lpstr>Animales__Insectos</vt:lpstr>
      <vt:lpstr>'1'!Área_de_impresión</vt:lpstr>
      <vt:lpstr>'JU-SSO-STG-006.F02'!Área_de_impresión</vt:lpstr>
      <vt:lpstr>Calor_Temperaturas_extremas_</vt:lpstr>
      <vt:lpstr>Carga_Suspendidas</vt:lpstr>
      <vt:lpstr>CÓDIGO</vt:lpstr>
      <vt:lpstr>Corrientes_de_aire</vt:lpstr>
      <vt:lpstr>Empuje_o_tracción_manual_de_cargas</vt:lpstr>
      <vt:lpstr>Energía_Eléctrica</vt:lpstr>
      <vt:lpstr>Espacio_Confinado_Atmósfera_Peligrosa_</vt:lpstr>
      <vt:lpstr>Espacio_Inadecuado_de_Trabajo</vt:lpstr>
      <vt:lpstr>Estructuras_e_Instalaciones_Inestables_Instalaciones__muros__andamios__escaleras__plataformas__etc___</vt:lpstr>
      <vt:lpstr>Excavaciones</vt:lpstr>
      <vt:lpstr>Fluidos_a_Presión__Equipo_Presurizado_Hidráulica__Neumática_</vt:lpstr>
      <vt:lpstr>Frío_Temperaturas_extremas_</vt:lpstr>
      <vt:lpstr>Gases_comprimidos__oxigeno__acetileno__gas_propano__nitrógeno_y_otros_</vt:lpstr>
      <vt:lpstr>Gases_de_combustión_de_máquinas</vt:lpstr>
      <vt:lpstr>Gases_tóxicos__cianuro__H2S_</vt:lpstr>
      <vt:lpstr>Horas_de_trabajo_prolongadas__excesivas</vt:lpstr>
      <vt:lpstr>Humedad</vt:lpstr>
      <vt:lpstr>Humos_de_soldadura</vt:lpstr>
      <vt:lpstr>Iluminación__deficiente_o_excesiva_</vt:lpstr>
      <vt:lpstr>Izaje_de_cargas</vt:lpstr>
      <vt:lpstr>L_P</vt:lpstr>
      <vt:lpstr>Levantamiento_o_traslado_manual_de_cargas</vt:lpstr>
      <vt:lpstr>Líquidos_o_materiales_inflamables</vt:lpstr>
      <vt:lpstr>List_Peligros</vt:lpstr>
      <vt:lpstr>Manifestaciones</vt:lpstr>
      <vt:lpstr>Manipulación_de_accesorios_para_voladura</vt:lpstr>
      <vt:lpstr>Manipulación_de_Herramientas_objetos</vt:lpstr>
      <vt:lpstr>Manipulación_de_sustancias_químicas_</vt:lpstr>
      <vt:lpstr>Maquinaria_o_Piezas_en_movimiento</vt:lpstr>
      <vt:lpstr>Material_Explosivo</vt:lpstr>
      <vt:lpstr>Material_Inflamable__Material_combustible__Gases_combustibles__Líquidos_inflamables__Líquidos_combustibles</vt:lpstr>
      <vt:lpstr>Movimientos_Repetitivos</vt:lpstr>
      <vt:lpstr>Neblina_ácida__ácido_sulfúrico____gases_tóxicos__ácido_clorhídrico__ácido_fluorhídrico__ácido_nítrico_</vt:lpstr>
      <vt:lpstr>Objetos_Almacenados_en_Altura</vt:lpstr>
      <vt:lpstr>Operación_de_Vehículos_o_equipos_en_Movimiento__equipo_de_producción__auxiliar__servicio__liviano__buses_etc_</vt:lpstr>
      <vt:lpstr>Otros_</vt:lpstr>
      <vt:lpstr>Personas_con_conductas_agresivas</vt:lpstr>
      <vt:lpstr>Plomo_</vt:lpstr>
      <vt:lpstr>Polvo__material_particulado_</vt:lpstr>
      <vt:lpstr>Posturas_inadecuadas</vt:lpstr>
      <vt:lpstr>Presión_Atmosférica</vt:lpstr>
      <vt:lpstr>Productos_químicos_con_componentes_cancerígenos_</vt:lpstr>
      <vt:lpstr>Proyección_de_partículas</vt:lpstr>
      <vt:lpstr>Radiación_ionizante</vt:lpstr>
      <vt:lpstr>Radiaciones_No_Ionizantes__Radiación_solar__infrarroja__ultravioleta__etc__</vt:lpstr>
      <vt:lpstr>Radiaciones_no_ionizantes__Soldadura__Corte__etc__</vt:lpstr>
      <vt:lpstr>Ruido</vt:lpstr>
      <vt:lpstr>Sismos</vt:lpstr>
      <vt:lpstr>Sobrecarga_de_Trabajo</vt:lpstr>
      <vt:lpstr>Superficie_Resbaladiza__Irregular__Obstáculos_en_el_piso</vt:lpstr>
      <vt:lpstr>Superficies_Punzo_Cortantes</vt:lpstr>
      <vt:lpstr>Sustancias_asfixiantes_</vt:lpstr>
      <vt:lpstr>Sustancias_corrosivas__cal__NaHS_</vt:lpstr>
      <vt:lpstr>Terreno_o_Superficies_Inestables_Taludes__Superficies__etc__</vt:lpstr>
      <vt:lpstr>Tiro_cortado__Explosivos_sin_detonar_después_de_una_voladura_</vt:lpstr>
      <vt:lpstr>'JU-SSO-STG-006.F02'!Títulos_a_imprimir</vt:lpstr>
      <vt:lpstr>Tormenta_Eléctrica</vt:lpstr>
      <vt:lpstr>Trabajo_en_Caliente__soldadura__esmerilado__etc__</vt:lpstr>
      <vt:lpstr>Trabajos_en_altura__encima_de_1_50_metros_</vt:lpstr>
      <vt:lpstr>Trabajos_sobre_cuerpos___cursos_de_agua_</vt:lpstr>
      <vt:lpstr>Vapores_orgánicos_volátiles__pintura__solventes_</vt:lpstr>
      <vt:lpstr>Vehículos_o_equipos_en_Movimiento__equipo_de_producción__auxiliar__servicio__liviano__buses_etc_</vt:lpstr>
      <vt:lpstr>Vías___Accesos_no_señalizados</vt:lpstr>
      <vt:lpstr>Vibración_de_cuerpo_completo</vt:lpstr>
      <vt:lpstr>Vibración_mano___brazo</vt:lpstr>
      <vt:lpstr>Vientos_fuertes</vt:lpstr>
    </vt:vector>
  </TitlesOfParts>
  <Manager/>
  <Company>Ausenco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Brenda</dc:creator>
  <cp:keywords/>
  <dc:description/>
  <cp:lastModifiedBy>Flor Yarihuaman</cp:lastModifiedBy>
  <cp:revision/>
  <cp:lastPrinted>2026-04-14T17:16:10Z</cp:lastPrinted>
  <dcterms:created xsi:type="dcterms:W3CDTF">2008-11-23T14:07:27Z</dcterms:created>
  <dcterms:modified xsi:type="dcterms:W3CDTF">2026-05-07T14:08:07Z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0x0101006108C44420C3A34F9DF7A04F75386BAA</vt:lpwstr>
  </property>
  <property fmtid="{D5CDD505-2E9C-101B-9397-08002B2CF9AE}" pid="3" name="MediaServiceImageTags">
    <vt:lpwstr/>
  </property>
</Properties>
</file>