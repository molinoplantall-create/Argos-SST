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Catálogo EPP" sheetId="2" state="visible" r:id="rId4"/>
    <sheet name="👷 Trabajadores" sheetId="3" state="visible" r:id="rId5"/>
    <sheet name="📝 Registro" sheetId="4" state="visible" r:id="rId6"/>
    <sheet name="ℹ️ Instrucci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<sst xmlns="http://schemas.openxmlformats.org/spreadsheetml/2006/main" count="215" uniqueCount="134">
  <si>
    <t xml:space="preserve">📊  DASHBOARD — CONTROL DE ENTREGA DE EPPs</t>
  </si>
  <si>
    <t xml:space="preserve">AÑO:</t>
  </si>
  <si>
    <t xml:space="preserve">← Cambia aquí el año para filtrar  |  ⚠️ Asegúrate que este año coincida con las fechas del Registro</t>
  </si>
  <si>
    <t xml:space="preserve">EPPs ENTREGADOS (TOTAL AÑO)</t>
  </si>
  <si>
    <t xml:space="preserve">RESUMEN POR TRABAJADOR Y ZONA — AÑO: </t>
  </si>
  <si>
    <t xml:space="preserve">TRABAJADOR</t>
  </si>
  <si>
    <t xml:space="preserve">Cabeza</t>
  </si>
  <si>
    <t xml:space="preserve">Ojos</t>
  </si>
  <si>
    <t xml:space="preserve">Oídos</t>
  </si>
  <si>
    <t xml:space="preserve">Respiratorio</t>
  </si>
  <si>
    <t xml:space="preserve">Torso</t>
  </si>
  <si>
    <t xml:space="preserve">Manos</t>
  </si>
  <si>
    <t xml:space="preserve">Piernas</t>
  </si>
  <si>
    <t xml:space="preserve">Pies</t>
  </si>
  <si>
    <t xml:space="preserve">TOTAL</t>
  </si>
  <si>
    <t xml:space="preserve">🪖 Cabeza</t>
  </si>
  <si>
    <t xml:space="preserve">🥽 Ojos</t>
  </si>
  <si>
    <t xml:space="preserve">👂 Oídos</t>
  </si>
  <si>
    <t xml:space="preserve">TOTAL GENERAL</t>
  </si>
  <si>
    <t xml:space="preserve">😷 Respiratorio</t>
  </si>
  <si>
    <t xml:space="preserve">DETALLE POR TIPO DE EPP — AÑO:</t>
  </si>
  <si>
    <t xml:space="preserve">EPP</t>
  </si>
  <si>
    <t xml:space="preserve">ZONA</t>
  </si>
  <si>
    <t xml:space="preserve">🦺 Torso</t>
  </si>
  <si>
    <t xml:space="preserve">🧤 Manos</t>
  </si>
  <si>
    <t xml:space="preserve">👖 Piernas</t>
  </si>
  <si>
    <t xml:space="preserve">👢 Pies</t>
  </si>
  <si>
    <t xml:space="preserve">📋  CATÁLOGO DE EPPs — EDITABLE</t>
  </si>
  <si>
    <t xml:space="preserve">✏️  Puedes agregar, editar o eliminar filas. El Registro y Resumen se actualizan automáticamente.</t>
  </si>
  <si>
    <t xml:space="preserve">#</t>
  </si>
  <si>
    <t xml:space="preserve">NOMBRE DEL EPP</t>
  </si>
  <si>
    <t xml:space="preserve">ZONA DEL CUERPO</t>
  </si>
  <si>
    <t xml:space="preserve">EMOJI / SÍMBOLO</t>
  </si>
  <si>
    <t xml:space="preserve">UNIDAD</t>
  </si>
  <si>
    <t xml:space="preserve">OBSERVACIONES</t>
  </si>
  <si>
    <t xml:space="preserve">ACTIVO</t>
  </si>
  <si>
    <t xml:space="preserve">Casco de Seguridad</t>
  </si>
  <si>
    <t xml:space="preserve">🪖</t>
  </si>
  <si>
    <t xml:space="preserve">Unidad</t>
  </si>
  <si>
    <t xml:space="preserve">SÍ</t>
  </si>
  <si>
    <t xml:space="preserve">Lentes de Seguridad</t>
  </si>
  <si>
    <t xml:space="preserve">🥽</t>
  </si>
  <si>
    <t xml:space="preserve">Tapones Auditivos</t>
  </si>
  <si>
    <t xml:space="preserve">👂</t>
  </si>
  <si>
    <t xml:space="preserve">Par</t>
  </si>
  <si>
    <t xml:space="preserve">Respirador / Mascarilla</t>
  </si>
  <si>
    <t xml:space="preserve">😷</t>
  </si>
  <si>
    <t xml:space="preserve">Chaleco Reflectivo</t>
  </si>
  <si>
    <t xml:space="preserve">🦺</t>
  </si>
  <si>
    <t xml:space="preserve">Polo Manga Larga</t>
  </si>
  <si>
    <t xml:space="preserve">👕</t>
  </si>
  <si>
    <t xml:space="preserve">Guantes de Seguridad</t>
  </si>
  <si>
    <t xml:space="preserve">🧤</t>
  </si>
  <si>
    <t xml:space="preserve">Pantalón de Trabajo</t>
  </si>
  <si>
    <t xml:space="preserve">👖</t>
  </si>
  <si>
    <t xml:space="preserve">Botas de Seguridad</t>
  </si>
  <si>
    <t xml:space="preserve">👢</t>
  </si>
  <si>
    <t xml:space="preserve">Arnes de Seguridad</t>
  </si>
  <si>
    <t xml:space="preserve">🔒</t>
  </si>
  <si>
    <t xml:space="preserve">Protector Facial</t>
  </si>
  <si>
    <t xml:space="preserve">🛡️</t>
  </si>
  <si>
    <t xml:space="preserve">Impermeable / Lluvia</t>
  </si>
  <si>
    <t xml:space="preserve">🧥</t>
  </si>
  <si>
    <t xml:space="preserve">ℹ️  INSTRUCCIONES: Agrega nuevos EPPs en las filas en blanco. La columna 'Zona del Cuerpo' tiene lista desplegable. 'Activo=NO' lo oculta del registro.</t>
  </si>
  <si>
    <t xml:space="preserve">👷  REGISTRO DE TRABAJADORES</t>
  </si>
  <si>
    <t xml:space="preserve">✏️  Edita los nombres, cargo y área de cada trabajador.</t>
  </si>
  <si>
    <t xml:space="preserve">NOMBRE COMPLETO</t>
  </si>
  <si>
    <t xml:space="preserve">DNI / CÓDIGO</t>
  </si>
  <si>
    <t xml:space="preserve">CARGO</t>
  </si>
  <si>
    <t xml:space="preserve">ÁREA</t>
  </si>
  <si>
    <t xml:space="preserve">FECHA INGRESO</t>
  </si>
  <si>
    <t xml:space="preserve">Juan Pérez García</t>
  </si>
  <si>
    <t xml:space="preserve">45678901</t>
  </si>
  <si>
    <t xml:space="preserve">Operario</t>
  </si>
  <si>
    <t xml:space="preserve">Producción</t>
  </si>
  <si>
    <t xml:space="preserve">01/01/2024</t>
  </si>
  <si>
    <t xml:space="preserve">Carlos López Ríos</t>
  </si>
  <si>
    <t xml:space="preserve">52341678</t>
  </si>
  <si>
    <t xml:space="preserve">Técnico</t>
  </si>
  <si>
    <t xml:space="preserve">Mantenimiento</t>
  </si>
  <si>
    <t xml:space="preserve">Miguel Torres Díaz</t>
  </si>
  <si>
    <t xml:space="preserve">61234567</t>
  </si>
  <si>
    <t xml:space="preserve">Supervisor</t>
  </si>
  <si>
    <t xml:space="preserve">Pedro Vargas Silva</t>
  </si>
  <si>
    <t xml:space="preserve">47891234</t>
  </si>
  <si>
    <t xml:space="preserve">Almacén</t>
  </si>
  <si>
    <t xml:space="preserve">Luis Ramos Flores</t>
  </si>
  <si>
    <t xml:space="preserve">55123489</t>
  </si>
  <si>
    <t xml:space="preserve">Electricista</t>
  </si>
  <si>
    <t xml:space="preserve">Jorge Huanca Mamani</t>
  </si>
  <si>
    <t xml:space="preserve">43219876</t>
  </si>
  <si>
    <t xml:space="preserve">Roberto Soto Cruz</t>
  </si>
  <si>
    <t xml:space="preserve">58765432</t>
  </si>
  <si>
    <t xml:space="preserve">Mecánico</t>
  </si>
  <si>
    <t xml:space="preserve">Antonio Quispe Lima</t>
  </si>
  <si>
    <t xml:space="preserve">62345678</t>
  </si>
  <si>
    <t xml:space="preserve">Francisco Paredes R.</t>
  </si>
  <si>
    <t xml:space="preserve">49876543</t>
  </si>
  <si>
    <t xml:space="preserve">Técnico HSE</t>
  </si>
  <si>
    <t xml:space="preserve">Seguridad</t>
  </si>
  <si>
    <t xml:space="preserve">Héctor Mendoza Vega</t>
  </si>
  <si>
    <t xml:space="preserve">53987654</t>
  </si>
  <si>
    <t xml:space="preserve">📝  REGISTRO DE ENTREGA DE EPPs</t>
  </si>
  <si>
    <t xml:space="preserve">✏️  Ingresa cada entrega de EPP aquí. Usa las listas desplegables en Trabajador y EPP.</t>
  </si>
  <si>
    <t xml:space="preserve">FECHA</t>
  </si>
  <si>
    <t xml:space="preserve">AÑO</t>
  </si>
  <si>
    <t xml:space="preserve">EPP ENTREGADO</t>
  </si>
  <si>
    <t xml:space="preserve">ZONA CUERPO</t>
  </si>
  <si>
    <t xml:space="preserve">CANTIDAD</t>
  </si>
  <si>
    <t xml:space="preserve">FIRMA / OBSERVACIÓN</t>
  </si>
  <si>
    <t xml:space="preserve">Conforme</t>
  </si>
  <si>
    <t xml:space="preserve">Talla 42</t>
  </si>
  <si>
    <t xml:space="preserve">Talla L</t>
  </si>
  <si>
    <t xml:space="preserve">Recambio filtros</t>
  </si>
  <si>
    <t xml:space="preserve">Talla M</t>
  </si>
  <si>
    <t xml:space="preserve">Talla 32</t>
  </si>
  <si>
    <t xml:space="preserve">📘  INSTRUCCIONES DE USO</t>
  </si>
  <si>
    <t xml:space="preserve">PASO 1</t>
  </si>
  <si>
    <t xml:space="preserve">📋 Catálogo EPP</t>
  </si>
  <si>
    <t xml:space="preserve">Revisa y edita la lista de EPPs. Puedes agregar nuevos en las filas en blanco. Cada EPP tiene una Zona del Cuerpo (lista desplegable). El Dashboard se actualiza solo.</t>
  </si>
  <si>
    <t xml:space="preserve">PASO 2</t>
  </si>
  <si>
    <t xml:space="preserve">👷 Trabajadores</t>
  </si>
  <si>
    <t xml:space="preserve">Edita los nombres, DNI, cargo y área de los 10 trabajadores. Si tienes más trabajadores, agrega filas y actualiza las fórmulas en el Dashboard.</t>
  </si>
  <si>
    <t xml:space="preserve">PASO 3</t>
  </si>
  <si>
    <t xml:space="preserve">📝 Registro</t>
  </si>
  <si>
    <t xml:space="preserve">Cada vez que entregues un EPP, agrega una fila: Fecha, Trabajador (lista desplegable), EPP (lista desplegable), Cantidad y Firma/Observación. La Zona del Cuerpo se llena automáticamente.</t>
  </si>
  <si>
    <t xml:space="preserve">PASO 4</t>
  </si>
  <si>
    <t xml:space="preserve">📊 Dashboard</t>
  </si>
  <si>
    <t xml:space="preserve">Cambia el año en la celda B3 para ver el resumen del año que necesites. El cuerpo humano y las tablas se actualizan automáticamente con tus registros.</t>
  </si>
  <si>
    <t xml:space="preserve">CONSEJO</t>
  </si>
  <si>
    <t xml:space="preserve">Agregar EPPs</t>
  </si>
  <si>
    <t xml:space="preserve">Para agregar un EPP nuevo: ve a '📋 Catálogo EPP', escribe el nombre en la columna B, selecciona la Zona del Cuerpo con el desplegable, y ponlo como Activo=SÍ. Aparecerá automáticamente en los desplegables del Registro.</t>
  </si>
  <si>
    <t xml:space="preserve">Más trabajadores</t>
  </si>
  <si>
    <t xml:space="preserve">Puedes agregar más de 10 trabajadores en la hoja 👷 Trabajadores. Para que aparezcan en el Dashboard, extiende las fórmulas de la tabla de resumen.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</si>
</sst>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6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59E0B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14"/>
      <color rgb="FFF1F5F9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12"/>
      <color rgb="FFF59E0B"/>
      <name val="Arial"/>
      <family val="0"/>
      <charset val="1"/>
    </font>
    <font>
      <b val="true"/>
      <sz val="8"/>
      <color rgb="FF0F172A"/>
      <name val="Arial"/>
      <family val="0"/>
      <charset val="1"/>
    </font>
    <font>
      <b val="true"/>
      <sz val="9"/>
      <color rgb="FF0F172A"/>
      <name val="Arial"/>
      <family val="0"/>
      <charset val="1"/>
    </font>
    <font>
      <b val="true"/>
      <sz val="14"/>
      <color rgb="FFF59E0B"/>
      <name val="Arial"/>
      <family val="0"/>
      <charset val="1"/>
    </font>
    <font>
      <b val="true"/>
      <sz val="10"/>
      <color rgb="FFF1F5F9"/>
      <name val="Arial"/>
      <family val="0"/>
      <charset val="1"/>
    </font>
    <font>
      <b val="true"/>
      <sz val="11"/>
      <color rgb="FF3B82F6"/>
      <name val="Arial"/>
      <family val="0"/>
      <charset val="1"/>
    </font>
    <font>
      <b val="true"/>
      <sz val="11"/>
      <color rgb="FF8B5CF6"/>
      <name val="Arial"/>
      <family val="0"/>
      <charset val="1"/>
    </font>
    <font>
      <b val="true"/>
      <sz val="11"/>
      <color rgb="FF06B6D4"/>
      <name val="Arial"/>
      <family val="0"/>
      <charset val="1"/>
    </font>
    <font>
      <b val="true"/>
      <sz val="11"/>
      <color rgb="FFF97316"/>
      <name val="Arial"/>
      <family val="0"/>
      <charset val="1"/>
    </font>
    <font>
      <b val="true"/>
      <sz val="11"/>
      <color rgb="FFEC4899"/>
      <name val="Arial"/>
      <family val="0"/>
      <charset val="1"/>
    </font>
    <font>
      <b val="true"/>
      <sz val="11"/>
      <color rgb="FF6366F1"/>
      <name val="Arial"/>
      <family val="0"/>
      <charset val="1"/>
    </font>
    <font>
      <b val="true"/>
      <sz val="11"/>
      <color rgb="FF84CC16"/>
      <name val="Arial"/>
      <family val="0"/>
      <charset val="1"/>
    </font>
    <font>
      <b val="true"/>
      <sz val="14"/>
      <color rgb="FF3B82F6"/>
      <name val="Arial"/>
      <family val="0"/>
      <charset val="1"/>
    </font>
    <font>
      <b val="true"/>
      <sz val="14"/>
      <color rgb="FF8B5CF6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4"/>
      <color rgb="FF06B6D4"/>
      <name val="Arial"/>
      <family val="0"/>
      <charset val="1"/>
    </font>
    <font>
      <b val="true"/>
      <sz val="12"/>
      <color rgb="FF10B981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9"/>
      <color rgb="FF94A3B8"/>
      <name val="Arial"/>
      <family val="0"/>
      <charset val="1"/>
    </font>
    <font>
      <sz val="8"/>
      <color rgb="FF94A3B8"/>
      <name val="Arial"/>
      <family val="0"/>
      <charset val="1"/>
    </font>
    <font>
      <sz val="9"/>
      <color rgb="FFF59E0B"/>
      <name val="Arial"/>
      <family val="0"/>
      <charset val="1"/>
    </font>
    <font>
      <sz val="10"/>
      <color rgb="FFF59E0B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4"/>
      <color rgb="FFF97316"/>
      <name val="Arial"/>
      <family val="0"/>
      <charset val="1"/>
    </font>
    <font>
      <sz val="9"/>
      <color rgb="FF3B82F6"/>
      <name val="Arial"/>
      <family val="0"/>
      <charset val="1"/>
    </font>
    <font>
      <sz val="10"/>
      <color rgb="FF3B82F6"/>
      <name val="Arial"/>
      <family val="0"/>
      <charset val="1"/>
    </font>
    <font>
      <sz val="9"/>
      <color rgb="FF8B5CF6"/>
      <name val="Arial"/>
      <family val="0"/>
      <charset val="1"/>
    </font>
    <font>
      <sz val="10"/>
      <color rgb="FF8B5CF6"/>
      <name val="Arial"/>
      <family val="0"/>
      <charset val="1"/>
    </font>
    <font>
      <sz val="9"/>
      <color rgb="FF06B6D4"/>
      <name val="Arial"/>
      <family val="0"/>
      <charset val="1"/>
    </font>
    <font>
      <sz val="10"/>
      <color rgb="FF06B6D4"/>
      <name val="Arial"/>
      <family val="0"/>
      <charset val="1"/>
    </font>
    <font>
      <sz val="9"/>
      <color rgb="FFF97316"/>
      <name val="Arial"/>
      <family val="0"/>
      <charset val="1"/>
    </font>
    <font>
      <sz val="10"/>
      <color rgb="FFF97316"/>
      <name val="Arial"/>
      <family val="0"/>
      <charset val="1"/>
    </font>
    <font>
      <sz val="9"/>
      <color rgb="FFEC4899"/>
      <name val="Arial"/>
      <family val="0"/>
      <charset val="1"/>
    </font>
    <font>
      <sz val="10"/>
      <color rgb="FFEC4899"/>
      <name val="Arial"/>
      <family val="0"/>
      <charset val="1"/>
    </font>
    <font>
      <b val="true"/>
      <sz val="14"/>
      <color rgb="FFEC4899"/>
      <name val="Arial"/>
      <family val="0"/>
      <charset val="1"/>
    </font>
    <font>
      <sz val="9"/>
      <color rgb="FF6366F1"/>
      <name val="Arial"/>
      <family val="0"/>
      <charset val="1"/>
    </font>
    <font>
      <sz val="10"/>
      <color rgb="FF6366F1"/>
      <name val="Arial"/>
      <family val="0"/>
      <charset val="1"/>
    </font>
    <font>
      <sz val="9"/>
      <color rgb="FF84CC16"/>
      <name val="Arial"/>
      <family val="0"/>
      <charset val="1"/>
    </font>
    <font>
      <sz val="10"/>
      <color rgb="FF84CC16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4"/>
      <color rgb="FF6366F1"/>
      <name val="Arial"/>
      <family val="0"/>
      <charset val="1"/>
    </font>
    <font>
      <b val="true"/>
      <sz val="14"/>
      <color rgb="FF84CC16"/>
      <name val="Arial"/>
      <family val="0"/>
      <charset val="1"/>
    </font>
    <font>
      <b val="true"/>
      <sz val="16"/>
      <color rgb="FFF59E0B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color rgb="FF94A3B8"/>
      <name val="Arial"/>
      <family val="0"/>
      <charset val="1"/>
    </font>
    <font>
      <sz val="10"/>
      <color rgb="FFFCD34D"/>
      <name val="Arial"/>
      <family val="0"/>
      <charset val="1"/>
    </font>
    <font>
      <sz val="10"/>
      <color rgb="FF10B981"/>
      <name val="Arial"/>
      <family val="0"/>
      <charset val="1"/>
    </font>
    <font>
      <i val="true"/>
      <sz val="9"/>
      <color rgb="FFF59E0B"/>
      <name val="Arial"/>
      <family val="0"/>
      <charset val="1"/>
    </font>
    <font>
      <b val="true"/>
      <sz val="16"/>
      <color rgb="FF3B82F6"/>
      <name val="Arial"/>
      <family val="0"/>
      <charset val="1"/>
    </font>
    <font>
      <b val="true"/>
      <sz val="16"/>
      <color rgb="FF10B981"/>
      <name val="Arial"/>
      <family val="0"/>
      <charset val="1"/>
    </font>
    <font>
      <sz val="9"/>
      <color rgb="FF64748B"/>
      <name val="Arial"/>
      <family val="0"/>
      <charset val="1"/>
    </font>
    <font>
      <sz val="10"/>
      <color rgb="FFF1F5F9"/>
      <name val="Arial"/>
      <family val="0"/>
      <charset val="1"/>
    </font>
    <font>
      <b val="true"/>
      <sz val="16"/>
      <color rgb="FF8B5CF6"/>
      <name val="Arial"/>
      <family val="0"/>
      <charset val="1"/>
    </font>
    <font>
      <b val="true"/>
      <sz val="10"/>
      <color rgb="FF8B5CF6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293B"/>
        <bgColor rgb="FF1A2744"/>
      </patternFill>
    </fill>
    <fill>
      <patternFill patternType="solid">
        <fgColor rgb="FF0F172A"/>
        <bgColor rgb="FF162032"/>
      </patternFill>
    </fill>
    <fill>
      <patternFill patternType="solid">
        <fgColor rgb="FF1A3050"/>
        <bgColor rgb="FF1A2744"/>
      </patternFill>
    </fill>
    <fill>
      <patternFill patternType="solid">
        <fgColor rgb="FF2D4A6A"/>
        <bgColor rgb="FF334155"/>
      </patternFill>
    </fill>
    <fill>
      <patternFill patternType="solid">
        <fgColor rgb="FFF59E0B"/>
        <bgColor rgb="FFF97316"/>
      </patternFill>
    </fill>
    <fill>
      <patternFill patternType="solid">
        <fgColor rgb="FF3B82F6"/>
        <bgColor rgb="FF6366F1"/>
      </patternFill>
    </fill>
    <fill>
      <patternFill patternType="solid">
        <fgColor rgb="FF8B5CF6"/>
        <bgColor rgb="FF6366F1"/>
      </patternFill>
    </fill>
    <fill>
      <patternFill patternType="solid">
        <fgColor rgb="FF06B6D4"/>
        <bgColor rgb="FF10B981"/>
      </patternFill>
    </fill>
    <fill>
      <patternFill patternType="solid">
        <fgColor rgb="FFF97316"/>
        <bgColor rgb="FFF59E0B"/>
      </patternFill>
    </fill>
    <fill>
      <patternFill patternType="solid">
        <fgColor rgb="FFEC4899"/>
        <bgColor rgb="FF993366"/>
      </patternFill>
    </fill>
    <fill>
      <patternFill patternType="solid">
        <fgColor rgb="FF6366F1"/>
        <bgColor rgb="FF8B5CF6"/>
      </patternFill>
    </fill>
    <fill>
      <patternFill patternType="solid">
        <fgColor rgb="FF84CC16"/>
        <bgColor rgb="FF808000"/>
      </patternFill>
    </fill>
    <fill>
      <patternFill patternType="solid">
        <fgColor rgb="FF1A2744"/>
        <bgColor rgb="FF1E293B"/>
      </patternFill>
    </fill>
    <fill>
      <patternFill patternType="solid">
        <fgColor rgb="FF162032"/>
        <bgColor rgb="FF1A2744"/>
      </patternFill>
    </fill>
    <fill>
      <patternFill patternType="solid">
        <fgColor rgb="FF1E3A5F"/>
        <bgColor rgb="FF1A3050"/>
      </patternFill>
    </fill>
    <fill>
      <patternFill patternType="solid">
        <fgColor rgb="FF10B981"/>
        <bgColor rgb="FF06B6D4"/>
      </patternFill>
    </fill>
    <fill>
      <patternFill patternType="solid">
        <fgColor rgb="FF0D2A1F"/>
        <bgColor rgb="FF162032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 diagonalUp="false" diagonalDown="false">
      <left style="thin">
        <color rgb="FFF59E0B"/>
      </left>
      <right/>
      <top style="thin">
        <color rgb="FFF59E0B"/>
      </top>
      <bottom style="thin">
        <color rgb="FFF59E0B"/>
      </bottom>
      <diagonal/>
    </border>
    <border diagonalUp="false" diagonalDown="false"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 diagonalUp="false" diagonalDown="false"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 diagonalUp="false" diagonalDown="false">
      <left style="thin">
        <color rgb="FF8B5CF6"/>
      </left>
      <right style="thin">
        <color rgb="FF8B5CF6"/>
      </right>
      <top style="thin">
        <color rgb="FF8B5CF6"/>
      </top>
      <bottom style="thin">
        <color rgb="FF8B5CF6"/>
      </bottom>
      <diagonal/>
    </border>
    <border diagonalUp="false" diagonalDown="false">
      <left style="thin">
        <color rgb="FF06B6D4"/>
      </left>
      <right style="thin">
        <color rgb="FF06B6D4"/>
      </right>
      <top style="thin">
        <color rgb="FF06B6D4"/>
      </top>
      <bottom style="thin">
        <color rgb="FF06B6D4"/>
      </bottom>
      <diagonal/>
    </border>
    <border diagonalUp="false" diagonalDown="false"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 diagonalUp="false" diagonalDown="false"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 diagonalUp="false" diagonalDown="false"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 diagonalUp="false" diagonalDown="false">
      <left style="thin">
        <color rgb="FF84CC16"/>
      </left>
      <right style="thin">
        <color rgb="FF84CC16"/>
      </right>
      <top style="thin">
        <color rgb="FF84CC16"/>
      </top>
      <bottom style="thin">
        <color rgb="FF84CC16"/>
      </bottom>
      <diagonal/>
    </border>
    <border diagonalUp="false" diagonalDown="false">
      <left style="thin">
        <color rgb="FFF59E0B"/>
      </left>
      <right/>
      <top style="thin">
        <color rgb="FFF59E0B"/>
      </top>
      <bottom/>
      <diagonal/>
    </border>
    <border diagonalUp="false" diagonalDown="false">
      <left style="thin">
        <color rgb="FFF59E0B"/>
      </left>
      <right style="thin">
        <color rgb="FFF59E0B"/>
      </right>
      <top style="thin">
        <color rgb="FFF59E0B"/>
      </top>
      <bottom/>
      <diagonal/>
    </border>
    <border diagonalUp="false" diagonalDown="false"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 diagonalUp="false" diagonalDown="false">
      <left style="thin">
        <color rgb="FF3B82F6"/>
      </left>
      <right/>
      <top style="thin">
        <color rgb="FF3B82F6"/>
      </top>
      <bottom/>
      <diagonal/>
    </border>
    <border diagonalUp="false" diagonalDown="false">
      <left style="thin">
        <color rgb="FF3B82F6"/>
      </left>
      <right style="thin">
        <color rgb="FF3B82F6"/>
      </right>
      <top style="thin">
        <color rgb="FF3B82F6"/>
      </top>
      <bottom/>
      <diagonal/>
    </border>
    <border diagonalUp="false" diagonalDown="false">
      <left style="thin">
        <color rgb="FF8B5CF6"/>
      </left>
      <right/>
      <top style="thin">
        <color rgb="FF8B5CF6"/>
      </top>
      <bottom/>
      <diagonal/>
    </border>
    <border diagonalUp="false" diagonalDown="false">
      <left style="thin">
        <color rgb="FF8B5CF6"/>
      </left>
      <right style="thin">
        <color rgb="FF8B5CF6"/>
      </right>
      <top style="thin">
        <color rgb="FF8B5CF6"/>
      </top>
      <bottom/>
      <diagonal/>
    </border>
    <border diagonalUp="false" diagonalDown="false">
      <left style="thin">
        <color rgb="FF06B6D4"/>
      </left>
      <right/>
      <top style="thin">
        <color rgb="FF06B6D4"/>
      </top>
      <bottom/>
      <diagonal/>
    </border>
    <border diagonalUp="false" diagonalDown="false">
      <left style="thin">
        <color rgb="FF06B6D4"/>
      </left>
      <right style="thin">
        <color rgb="FF06B6D4"/>
      </right>
      <top style="thin">
        <color rgb="FF06B6D4"/>
      </top>
      <bottom/>
      <diagonal/>
    </border>
    <border diagonalUp="false" diagonalDown="false"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 diagonalUp="false" diagonalDown="false">
      <left style="thin">
        <color rgb="FFF97316"/>
      </left>
      <right/>
      <top style="thin">
        <color rgb="FFF97316"/>
      </top>
      <bottom/>
      <diagonal/>
    </border>
    <border diagonalUp="false" diagonalDown="false">
      <left style="thin">
        <color rgb="FFF97316"/>
      </left>
      <right style="thin">
        <color rgb="FFF97316"/>
      </right>
      <top style="thin">
        <color rgb="FFF97316"/>
      </top>
      <bottom/>
      <diagonal/>
    </border>
    <border diagonalUp="false" diagonalDown="false">
      <left style="thin">
        <color rgb="FFEC4899"/>
      </left>
      <right/>
      <top style="thin">
        <color rgb="FFEC4899"/>
      </top>
      <bottom/>
      <diagonal/>
    </border>
    <border diagonalUp="false" diagonalDown="false">
      <left style="thin">
        <color rgb="FFEC4899"/>
      </left>
      <right style="thin">
        <color rgb="FFEC4899"/>
      </right>
      <top style="thin">
        <color rgb="FFEC4899"/>
      </top>
      <bottom/>
      <diagonal/>
    </border>
    <border diagonalUp="false" diagonalDown="false">
      <left style="thin">
        <color rgb="FF6366F1"/>
      </left>
      <right/>
      <top style="thin">
        <color rgb="FF6366F1"/>
      </top>
      <bottom/>
      <diagonal/>
    </border>
    <border diagonalUp="false" diagonalDown="false">
      <left style="thin">
        <color rgb="FF6366F1"/>
      </left>
      <right style="thin">
        <color rgb="FF6366F1"/>
      </right>
      <top style="thin">
        <color rgb="FF6366F1"/>
      </top>
      <bottom/>
      <diagonal/>
    </border>
    <border diagonalUp="false" diagonalDown="false">
      <left style="thin">
        <color rgb="FF84CC16"/>
      </left>
      <right/>
      <top style="thin">
        <color rgb="FF84CC16"/>
      </top>
      <bottom/>
      <diagonal/>
    </border>
    <border diagonalUp="false" diagonalDown="false">
      <left style="thin">
        <color rgb="FF84CC16"/>
      </left>
      <right style="thin">
        <color rgb="FF84CC16"/>
      </right>
      <top style="thin">
        <color rgb="FF84CC1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3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8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8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9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0" fillId="1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15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4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5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3" fillId="2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4" fillId="1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4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5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172A"/>
      <rgbColor rgb="FF808000"/>
      <rgbColor rgb="FF800080"/>
      <rgbColor rgb="FF008080"/>
      <rgbColor rgb="FFC0C0C0"/>
      <rgbColor rgb="FF6366F1"/>
      <rgbColor rgb="FF8B5CF6"/>
      <rgbColor rgb="FF334155"/>
      <rgbColor rgb="FFFFFFCC"/>
      <rgbColor rgb="FFCCFFFF"/>
      <rgbColor rgb="FF660066"/>
      <rgbColor rgb="FFEC4899"/>
      <rgbColor rgb="FF2D4A6A"/>
      <rgbColor rgb="FFCCCCFF"/>
      <rgbColor rgb="FF1A2744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CD34D"/>
      <rgbColor rgb="FF3B82F6"/>
      <rgbColor rgb="FF33CCCC"/>
      <rgbColor rgb="FF84CC16"/>
      <rgbColor rgb="FFFFCC00"/>
      <rgbColor rgb="FFF59E0B"/>
      <rgbColor rgb="FFF97316"/>
      <rgbColor rgb="FF64748B"/>
      <rgbColor rgb="FF94A3B8"/>
      <rgbColor rgb="FF1A3050"/>
      <rgbColor rgb="FF10B981"/>
      <rgbColor rgb="FF0D2A1F"/>
      <rgbColor rgb="FF162032"/>
      <rgbColor rgb="FF993300"/>
      <rgbColor rgb="FF993366"/>
      <rgbColor rgb="FF1E3A5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9" min="2" style="1" width="10"/>
    <col collapsed="false" customWidth="true" hidden="false" outlineLevel="0" max="10" min="10" style="1" width="8"/>
    <col collapsed="false" customWidth="true" hidden="false" outlineLevel="0" max="22" min="17" style="1" width="3.2"/>
    <col collapsed="false" customWidth="true" hidden="false" outlineLevel="0" max="26" min="26" style="1" width="20"/>
    <col collapsed="false" customWidth="true" hidden="false" outlineLevel="0" max="29" min="27" style="1" width="5"/>
    <col collapsed="false" customWidth="true" hidden="false" outlineLevel="0" max="30" min="30" style="1" width="8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customFormat="false" ht="27.75" hidden="false" customHeight="true" outlineLevel="0" collapsed="false">
      <c r="A3" s="4" t="s">
        <v>1</v>
      </c>
      <c r="B3" s="5" t="n">
        <v>2026</v>
      </c>
      <c r="C3" s="6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7" t="s">
        <v>3</v>
      </c>
      <c r="AA3" s="7"/>
      <c r="AB3" s="7"/>
      <c r="AC3" s="7"/>
      <c r="AD3" s="7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customFormat="false" ht="24" hidden="false" customHeight="true" outlineLevel="0" collapsed="false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3"/>
      <c r="P5" s="3"/>
      <c r="Q5" s="3"/>
      <c r="R5" s="9"/>
      <c r="S5" s="9"/>
      <c r="T5" s="9"/>
      <c r="U5" s="9"/>
      <c r="V5" s="3"/>
      <c r="W5" s="3"/>
      <c r="X5" s="3"/>
      <c r="Y5" s="3"/>
      <c r="Z5" s="3"/>
      <c r="AA5" s="3"/>
      <c r="AB5" s="3"/>
      <c r="AC5" s="3"/>
      <c r="AD5" s="3"/>
    </row>
    <row r="6" customFormat="false" ht="27.75" hidden="false" customHeight="true" outlineLevel="0" collapsed="false">
      <c r="A6" s="10" t="s">
        <v>5</v>
      </c>
      <c r="B6" s="11" t="s">
        <v>6</v>
      </c>
      <c r="C6" s="12" t="s">
        <v>7</v>
      </c>
      <c r="D6" s="13" t="s">
        <v>8</v>
      </c>
      <c r="E6" s="14" t="s">
        <v>9</v>
      </c>
      <c r="F6" s="15" t="s">
        <v>10</v>
      </c>
      <c r="G6" s="16" t="s">
        <v>11</v>
      </c>
      <c r="H6" s="17" t="s">
        <v>12</v>
      </c>
      <c r="I6" s="18" t="s">
        <v>13</v>
      </c>
      <c r="J6" s="19" t="s">
        <v>14</v>
      </c>
      <c r="K6" s="3"/>
      <c r="L6" s="3"/>
      <c r="M6" s="3"/>
      <c r="N6" s="3"/>
      <c r="O6" s="3"/>
      <c r="P6" s="3"/>
      <c r="Q6" s="3"/>
      <c r="R6" s="9"/>
      <c r="S6" s="9"/>
      <c r="T6" s="9"/>
      <c r="U6" s="9"/>
      <c r="V6" s="3"/>
      <c r="W6" s="3"/>
      <c r="X6" s="3"/>
      <c r="Y6" s="3"/>
      <c r="Z6" s="20" t="s">
        <v>15</v>
      </c>
      <c r="AA6" s="20"/>
      <c r="AB6" s="20"/>
      <c r="AC6" s="20"/>
      <c r="AD6" s="21" t="n">
        <f aca="false">SUMPRODUCT(('📝 Registro'!C5:C104=B3)*('📝 Registro'!F5:F104="Cabeza")*('📝 Registro'!G5:G104))</f>
        <v>0</v>
      </c>
    </row>
    <row r="7" customFormat="false" ht="19.5" hidden="false" customHeight="true" outlineLevel="0" collapsed="false">
      <c r="A7" s="22" t="str">
        <f aca="false">'👷 Trabajadores'!B5</f>
        <v>Juan Pérez García</v>
      </c>
      <c r="B7" s="23" t="n">
        <f aca="false">SUMPRODUCT(('📝 Registro'!C5:C104=B3)*('📝 Registro'!D5:D104=A7)*('📝 Registro'!F5:F104="Cabeza")*('📝 Registro'!G5:G104))</f>
        <v>0</v>
      </c>
      <c r="C7" s="24" t="n">
        <f aca="false">SUMPRODUCT(('📝 Registro'!C5:C104=B3)*('📝 Registro'!D5:D104=A7)*('📝 Registro'!F5:F104="Ojos")*('📝 Registro'!G5:G104))</f>
        <v>0</v>
      </c>
      <c r="D7" s="25" t="n">
        <f aca="false">SUMPRODUCT(('📝 Registro'!C5:C104=B3)*('📝 Registro'!D5:D104=A7)*('📝 Registro'!F5:F104="Oídos")*('📝 Registro'!G5:G104))</f>
        <v>0</v>
      </c>
      <c r="E7" s="26" t="n">
        <f aca="false">SUMPRODUCT(('📝 Registro'!C5:C104=B3)*('📝 Registro'!D5:D104=A7)*('📝 Registro'!F5:F104="Respiratorio")*('📝 Registro'!G5:G104))</f>
        <v>0</v>
      </c>
      <c r="F7" s="27" t="n">
        <f aca="false">SUMPRODUCT(('📝 Registro'!C5:C104=B3)*('📝 Registro'!D5:D104=A7)*('📝 Registro'!F5:F104="Torso")*('📝 Registro'!G5:G104))</f>
        <v>0</v>
      </c>
      <c r="G7" s="28" t="n">
        <f aca="false">SUMPRODUCT(('📝 Registro'!C5:C104=B3)*('📝 Registro'!D5:D104=A7)*('📝 Registro'!F5:F104="Manos")*('📝 Registro'!G5:G104))</f>
        <v>0</v>
      </c>
      <c r="H7" s="29" t="n">
        <f aca="false">SUMPRODUCT(('📝 Registro'!C5:C104=B3)*('📝 Registro'!D5:D104=A7)*('📝 Registro'!F5:F104="Piernas")*('📝 Registro'!G5:G104))</f>
        <v>0</v>
      </c>
      <c r="I7" s="30" t="n">
        <f aca="false">SUMPRODUCT(('📝 Registro'!C5:C104=B3)*('📝 Registro'!D5:D104=A7)*('📝 Registro'!F5:F104="Pies")*('📝 Registro'!G5:G104))</f>
        <v>0</v>
      </c>
      <c r="J7" s="31" t="n">
        <f aca="false">SUM(B7:I7)</f>
        <v>0</v>
      </c>
      <c r="K7" s="3"/>
      <c r="L7" s="3"/>
      <c r="M7" s="3"/>
      <c r="N7" s="3"/>
      <c r="O7" s="3"/>
      <c r="P7" s="3"/>
      <c r="Q7" s="3"/>
      <c r="R7" s="9"/>
      <c r="S7" s="32"/>
      <c r="T7" s="32"/>
      <c r="U7" s="9"/>
      <c r="V7" s="3"/>
      <c r="W7" s="3"/>
      <c r="X7" s="3"/>
      <c r="Y7" s="3"/>
      <c r="Z7" s="20"/>
      <c r="AA7" s="20"/>
      <c r="AB7" s="20"/>
      <c r="AC7" s="20"/>
      <c r="AD7" s="21"/>
    </row>
    <row r="8" customFormat="false" ht="19.5" hidden="false" customHeight="true" outlineLevel="0" collapsed="false">
      <c r="A8" s="33" t="str">
        <f aca="false">'👷 Trabajadores'!B6</f>
        <v>Carlos López Ríos</v>
      </c>
      <c r="B8" s="34" t="n">
        <f aca="false">SUMPRODUCT(('📝 Registro'!C5:C104=B3)*('📝 Registro'!D5:D104=A8)*('📝 Registro'!F5:F104="Cabeza")*('📝 Registro'!G5:G104))</f>
        <v>0</v>
      </c>
      <c r="C8" s="35" t="n">
        <f aca="false">SUMPRODUCT(('📝 Registro'!C5:C104=B3)*('📝 Registro'!D5:D104=A8)*('📝 Registro'!F5:F104="Ojos")*('📝 Registro'!G5:G104))</f>
        <v>0</v>
      </c>
      <c r="D8" s="36" t="n">
        <f aca="false">SUMPRODUCT(('📝 Registro'!C5:C104=B3)*('📝 Registro'!D5:D104=A8)*('📝 Registro'!F5:F104="Oídos")*('📝 Registro'!G5:G104))</f>
        <v>0</v>
      </c>
      <c r="E8" s="37" t="n">
        <f aca="false">SUMPRODUCT(('📝 Registro'!C5:C104=B3)*('📝 Registro'!D5:D104=A8)*('📝 Registro'!F5:F104="Respiratorio")*('📝 Registro'!G5:G104))</f>
        <v>0</v>
      </c>
      <c r="F8" s="38" t="n">
        <f aca="false">SUMPRODUCT(('📝 Registro'!C5:C104=B3)*('📝 Registro'!D5:D104=A8)*('📝 Registro'!F5:F104="Torso")*('📝 Registro'!G5:G104))</f>
        <v>0</v>
      </c>
      <c r="G8" s="39" t="n">
        <f aca="false">SUMPRODUCT(('📝 Registro'!C5:C104=B3)*('📝 Registro'!D5:D104=A8)*('📝 Registro'!F5:F104="Manos")*('📝 Registro'!G5:G104))</f>
        <v>0</v>
      </c>
      <c r="H8" s="40" t="n">
        <f aca="false">SUMPRODUCT(('📝 Registro'!C5:C104=B3)*('📝 Registro'!D5:D104=A8)*('📝 Registro'!F5:F104="Piernas")*('📝 Registro'!G5:G104))</f>
        <v>0</v>
      </c>
      <c r="I8" s="41" t="n">
        <f aca="false">SUMPRODUCT(('📝 Registro'!C5:C104=B3)*('📝 Registro'!D5:D104=A8)*('📝 Registro'!F5:F104="Pies")*('📝 Registro'!G5:G104))</f>
        <v>0</v>
      </c>
      <c r="J8" s="42" t="n">
        <f aca="false">SUM(B8:I8)</f>
        <v>0</v>
      </c>
      <c r="K8" s="3"/>
      <c r="L8" s="3"/>
      <c r="M8" s="3"/>
      <c r="N8" s="3"/>
      <c r="O8" s="3"/>
      <c r="P8" s="3"/>
      <c r="Q8" s="3"/>
      <c r="R8" s="9"/>
      <c r="S8" s="9"/>
      <c r="T8" s="9"/>
      <c r="U8" s="9"/>
      <c r="V8" s="3"/>
      <c r="W8" s="3"/>
      <c r="X8" s="3"/>
      <c r="Y8" s="3"/>
      <c r="Z8" s="20"/>
      <c r="AA8" s="20"/>
      <c r="AB8" s="20"/>
      <c r="AC8" s="20"/>
      <c r="AD8" s="21"/>
    </row>
    <row r="9" customFormat="false" ht="19.5" hidden="false" customHeight="true" outlineLevel="0" collapsed="false">
      <c r="A9" s="22" t="str">
        <f aca="false">'👷 Trabajadores'!B7</f>
        <v>Miguel Torres Díaz</v>
      </c>
      <c r="B9" s="23" t="n">
        <f aca="false">SUMPRODUCT(('📝 Registro'!C5:C104=B3)*('📝 Registro'!D5:D104=A9)*('📝 Registro'!F5:F104="Cabeza")*('📝 Registro'!G5:G104))</f>
        <v>0</v>
      </c>
      <c r="C9" s="24" t="n">
        <f aca="false">SUMPRODUCT(('📝 Registro'!C5:C104=B3)*('📝 Registro'!D5:D104=A9)*('📝 Registro'!F5:F104="Ojos")*('📝 Registro'!G5:G104))</f>
        <v>0</v>
      </c>
      <c r="D9" s="25" t="n">
        <f aca="false">SUMPRODUCT(('📝 Registro'!C5:C104=B3)*('📝 Registro'!D5:D104=A9)*('📝 Registro'!F5:F104="Oídos")*('📝 Registro'!G5:G104))</f>
        <v>0</v>
      </c>
      <c r="E9" s="26" t="n">
        <f aca="false">SUMPRODUCT(('📝 Registro'!C5:C104=B3)*('📝 Registro'!D5:D104=A9)*('📝 Registro'!F5:F104="Respiratorio")*('📝 Registro'!G5:G104))</f>
        <v>0</v>
      </c>
      <c r="F9" s="27" t="n">
        <f aca="false">SUMPRODUCT(('📝 Registro'!C5:C104=B3)*('📝 Registro'!D5:D104=A9)*('📝 Registro'!F5:F104="Torso")*('📝 Registro'!G5:G104))</f>
        <v>0</v>
      </c>
      <c r="G9" s="28" t="n">
        <f aca="false">SUMPRODUCT(('📝 Registro'!C5:C104=B3)*('📝 Registro'!D5:D104=A9)*('📝 Registro'!F5:F104="Manos")*('📝 Registro'!G5:G104))</f>
        <v>0</v>
      </c>
      <c r="H9" s="29" t="n">
        <f aca="false">SUMPRODUCT(('📝 Registro'!C5:C104=B3)*('📝 Registro'!D5:D104=A9)*('📝 Registro'!F5:F104="Piernas")*('📝 Registro'!G5:G104))</f>
        <v>0</v>
      </c>
      <c r="I9" s="30" t="n">
        <f aca="false">SUMPRODUCT(('📝 Registro'!C5:C104=B3)*('📝 Registro'!D5:D104=A9)*('📝 Registro'!F5:F104="Pies")*('📝 Registro'!G5:G104))</f>
        <v>0</v>
      </c>
      <c r="J9" s="31" t="n">
        <f aca="false">SUM(B9:I9)</f>
        <v>0</v>
      </c>
      <c r="K9" s="3"/>
      <c r="L9" s="3"/>
      <c r="M9" s="3"/>
      <c r="N9" s="3"/>
      <c r="O9" s="3"/>
      <c r="P9" s="3"/>
      <c r="Q9" s="3"/>
      <c r="R9" s="9"/>
      <c r="S9" s="9"/>
      <c r="T9" s="9"/>
      <c r="U9" s="9"/>
      <c r="V9" s="3"/>
      <c r="W9" s="3"/>
      <c r="X9" s="3"/>
      <c r="Y9" s="3"/>
      <c r="Z9" s="3"/>
      <c r="AA9" s="3"/>
      <c r="AB9" s="3"/>
      <c r="AC9" s="3"/>
      <c r="AD9" s="3"/>
    </row>
    <row r="10" customFormat="false" ht="19.5" hidden="false" customHeight="true" outlineLevel="0" collapsed="false">
      <c r="A10" s="33" t="str">
        <f aca="false">'👷 Trabajadores'!B8</f>
        <v>Pedro Vargas Silva</v>
      </c>
      <c r="B10" s="34" t="n">
        <f aca="false">SUMPRODUCT(('📝 Registro'!C5:C104=B3)*('📝 Registro'!D5:D104=A10)*('📝 Registro'!F5:F104="Cabeza")*('📝 Registro'!G5:G104))</f>
        <v>0</v>
      </c>
      <c r="C10" s="35" t="n">
        <f aca="false">SUMPRODUCT(('📝 Registro'!C5:C104=B3)*('📝 Registro'!D5:D104=A10)*('📝 Registro'!F5:F104="Ojos")*('📝 Registro'!G5:G104))</f>
        <v>0</v>
      </c>
      <c r="D10" s="36" t="n">
        <f aca="false">SUMPRODUCT(('📝 Registro'!C5:C104=B3)*('📝 Registro'!D5:D104=A10)*('📝 Registro'!F5:F104="Oídos")*('📝 Registro'!G5:G104))</f>
        <v>0</v>
      </c>
      <c r="E10" s="37" t="n">
        <f aca="false">SUMPRODUCT(('📝 Registro'!C5:C104=B3)*('📝 Registro'!D5:D104=A10)*('📝 Registro'!F5:F104="Respiratorio")*('📝 Registro'!G5:G104))</f>
        <v>0</v>
      </c>
      <c r="F10" s="38" t="n">
        <f aca="false">SUMPRODUCT(('📝 Registro'!C5:C104=B3)*('📝 Registro'!D5:D104=A10)*('📝 Registro'!F5:F104="Torso")*('📝 Registro'!G5:G104))</f>
        <v>0</v>
      </c>
      <c r="G10" s="39" t="n">
        <f aca="false">SUMPRODUCT(('📝 Registro'!C5:C104=B3)*('📝 Registro'!D5:D104=A10)*('📝 Registro'!F5:F104="Manos")*('📝 Registro'!G5:G104))</f>
        <v>0</v>
      </c>
      <c r="H10" s="40" t="n">
        <f aca="false">SUMPRODUCT(('📝 Registro'!C5:C104=B3)*('📝 Registro'!D5:D104=A10)*('📝 Registro'!F5:F104="Piernas")*('📝 Registro'!G5:G104))</f>
        <v>0</v>
      </c>
      <c r="I10" s="41" t="n">
        <f aca="false">SUMPRODUCT(('📝 Registro'!C5:C104=B3)*('📝 Registro'!D5:D104=A10)*('📝 Registro'!F5:F104="Pies")*('📝 Registro'!G5:G104))</f>
        <v>0</v>
      </c>
      <c r="J10" s="42" t="n">
        <f aca="false">SUM(B10:I10)</f>
        <v>0</v>
      </c>
      <c r="K10" s="3"/>
      <c r="L10" s="3"/>
      <c r="M10" s="3"/>
      <c r="N10" s="3"/>
      <c r="O10" s="3"/>
      <c r="P10" s="3"/>
      <c r="Q10" s="3"/>
      <c r="R10" s="9"/>
      <c r="S10" s="9"/>
      <c r="T10" s="9"/>
      <c r="U10" s="9"/>
      <c r="V10" s="3"/>
      <c r="W10" s="3"/>
      <c r="X10" s="3"/>
      <c r="Y10" s="3"/>
      <c r="Z10" s="43" t="s">
        <v>16</v>
      </c>
      <c r="AA10" s="43"/>
      <c r="AB10" s="43"/>
      <c r="AC10" s="43"/>
      <c r="AD10" s="44" t="n">
        <f aca="false">SUMPRODUCT(('📝 Registro'!C5:C104=B3)*('📝 Registro'!F5:F104="Ojos")*('📝 Registro'!G5:G104))</f>
        <v>0</v>
      </c>
    </row>
    <row r="11" customFormat="false" ht="19.5" hidden="false" customHeight="true" outlineLevel="0" collapsed="false">
      <c r="A11" s="22" t="str">
        <f aca="false">'👷 Trabajadores'!B9</f>
        <v>Luis Ramos Flores</v>
      </c>
      <c r="B11" s="23" t="n">
        <f aca="false">SUMPRODUCT(('📝 Registro'!C5:C104=B3)*('📝 Registro'!D5:D104=A11)*('📝 Registro'!F5:F104="Cabeza")*('📝 Registro'!G5:G104))</f>
        <v>0</v>
      </c>
      <c r="C11" s="24" t="n">
        <f aca="false">SUMPRODUCT(('📝 Registro'!C5:C104=B3)*('📝 Registro'!D5:D104=A11)*('📝 Registro'!F5:F104="Ojos")*('📝 Registro'!G5:G104))</f>
        <v>0</v>
      </c>
      <c r="D11" s="25" t="n">
        <f aca="false">SUMPRODUCT(('📝 Registro'!C5:C104=B3)*('📝 Registro'!D5:D104=A11)*('📝 Registro'!F5:F104="Oídos")*('📝 Registro'!G5:G104))</f>
        <v>0</v>
      </c>
      <c r="E11" s="26" t="n">
        <f aca="false">SUMPRODUCT(('📝 Registro'!C5:C104=B3)*('📝 Registro'!D5:D104=A11)*('📝 Registro'!F5:F104="Respiratorio")*('📝 Registro'!G5:G104))</f>
        <v>0</v>
      </c>
      <c r="F11" s="27" t="n">
        <f aca="false">SUMPRODUCT(('📝 Registro'!C5:C104=B3)*('📝 Registro'!D5:D104=A11)*('📝 Registro'!F5:F104="Torso")*('📝 Registro'!G5:G104))</f>
        <v>0</v>
      </c>
      <c r="G11" s="28" t="n">
        <f aca="false">SUMPRODUCT(('📝 Registro'!C5:C104=B3)*('📝 Registro'!D5:D104=A11)*('📝 Registro'!F5:F104="Manos")*('📝 Registro'!G5:G104))</f>
        <v>0</v>
      </c>
      <c r="H11" s="29" t="n">
        <f aca="false">SUMPRODUCT(('📝 Registro'!C5:C104=B3)*('📝 Registro'!D5:D104=A11)*('📝 Registro'!F5:F104="Piernas")*('📝 Registro'!G5:G104))</f>
        <v>0</v>
      </c>
      <c r="I11" s="30" t="n">
        <f aca="false">SUMPRODUCT(('📝 Registro'!C5:C104=B3)*('📝 Registro'!D5:D104=A11)*('📝 Registro'!F5:F104="Pies")*('📝 Registro'!G5:G104))</f>
        <v>0</v>
      </c>
      <c r="J11" s="31" t="n">
        <f aca="false">SUM(B11:I11)</f>
        <v>0</v>
      </c>
      <c r="K11" s="3"/>
      <c r="L11" s="3"/>
      <c r="M11" s="3"/>
      <c r="N11" s="3"/>
      <c r="O11" s="3"/>
      <c r="P11" s="3"/>
      <c r="Q11" s="3"/>
      <c r="R11" s="9"/>
      <c r="S11" s="9"/>
      <c r="T11" s="9"/>
      <c r="U11" s="9"/>
      <c r="V11" s="3"/>
      <c r="W11" s="3"/>
      <c r="X11" s="3"/>
      <c r="Y11" s="3"/>
      <c r="Z11" s="43"/>
      <c r="AA11" s="43"/>
      <c r="AB11" s="43"/>
      <c r="AC11" s="43"/>
      <c r="AD11" s="44"/>
    </row>
    <row r="12" customFormat="false" ht="19.5" hidden="false" customHeight="true" outlineLevel="0" collapsed="false">
      <c r="A12" s="33" t="str">
        <f aca="false">'👷 Trabajadores'!B10</f>
        <v>Jorge Huanca Mamani</v>
      </c>
      <c r="B12" s="34" t="n">
        <f aca="false">SUMPRODUCT(('📝 Registro'!C5:C104=B3)*('📝 Registro'!D5:D104=A12)*('📝 Registro'!F5:F104="Cabeza")*('📝 Registro'!G5:G104))</f>
        <v>0</v>
      </c>
      <c r="C12" s="35" t="n">
        <f aca="false">SUMPRODUCT(('📝 Registro'!C5:C104=B3)*('📝 Registro'!D5:D104=A12)*('📝 Registro'!F5:F104="Ojos")*('📝 Registro'!G5:G104))</f>
        <v>0</v>
      </c>
      <c r="D12" s="36" t="n">
        <f aca="false">SUMPRODUCT(('📝 Registro'!C5:C104=B3)*('📝 Registro'!D5:D104=A12)*('📝 Registro'!F5:F104="Oídos")*('📝 Registro'!G5:G104))</f>
        <v>0</v>
      </c>
      <c r="E12" s="37" t="n">
        <f aca="false">SUMPRODUCT(('📝 Registro'!C5:C104=B3)*('📝 Registro'!D5:D104=A12)*('📝 Registro'!F5:F104="Respiratorio")*('📝 Registro'!G5:G104))</f>
        <v>0</v>
      </c>
      <c r="F12" s="38" t="n">
        <f aca="false">SUMPRODUCT(('📝 Registro'!C5:C104=B3)*('📝 Registro'!D5:D104=A12)*('📝 Registro'!F5:F104="Torso")*('📝 Registro'!G5:G104))</f>
        <v>0</v>
      </c>
      <c r="G12" s="39" t="n">
        <f aca="false">SUMPRODUCT(('📝 Registro'!C5:C104=B3)*('📝 Registro'!D5:D104=A12)*('📝 Registro'!F5:F104="Manos")*('📝 Registro'!G5:G104))</f>
        <v>0</v>
      </c>
      <c r="H12" s="40" t="n">
        <f aca="false">SUMPRODUCT(('📝 Registro'!C5:C104=B3)*('📝 Registro'!D5:D104=A12)*('📝 Registro'!F5:F104="Piernas")*('📝 Registro'!G5:G104))</f>
        <v>0</v>
      </c>
      <c r="I12" s="41" t="n">
        <f aca="false">SUMPRODUCT(('📝 Registro'!C5:C104=B3)*('📝 Registro'!D5:D104=A12)*('📝 Registro'!F5:F104="Pies")*('📝 Registro'!G5:G104))</f>
        <v>0</v>
      </c>
      <c r="J12" s="42" t="n">
        <f aca="false">SUM(B12:I12)</f>
        <v>0</v>
      </c>
      <c r="K12" s="3"/>
      <c r="L12" s="3"/>
      <c r="M12" s="3"/>
      <c r="N12" s="3"/>
      <c r="O12" s="3"/>
      <c r="P12" s="3"/>
      <c r="Q12" s="3"/>
      <c r="R12" s="3"/>
      <c r="S12" s="9"/>
      <c r="T12" s="9"/>
      <c r="U12" s="3"/>
      <c r="V12" s="3"/>
      <c r="W12" s="3"/>
      <c r="X12" s="3"/>
      <c r="Y12" s="3"/>
      <c r="Z12" s="43"/>
      <c r="AA12" s="43"/>
      <c r="AB12" s="43"/>
      <c r="AC12" s="43"/>
      <c r="AD12" s="44"/>
    </row>
    <row r="13" customFormat="false" ht="19.5" hidden="false" customHeight="true" outlineLevel="0" collapsed="false">
      <c r="A13" s="22" t="str">
        <f aca="false">'👷 Trabajadores'!B11</f>
        <v>Roberto Soto Cruz</v>
      </c>
      <c r="B13" s="23" t="n">
        <f aca="false">SUMPRODUCT(('📝 Registro'!C5:C104=B3)*('📝 Registro'!D5:D104=A13)*('📝 Registro'!F5:F104="Cabeza")*('📝 Registro'!G5:G104))</f>
        <v>0</v>
      </c>
      <c r="C13" s="24" t="n">
        <f aca="false">SUMPRODUCT(('📝 Registro'!C5:C104=B3)*('📝 Registro'!D5:D104=A13)*('📝 Registro'!F5:F104="Ojos")*('📝 Registro'!G5:G104))</f>
        <v>0</v>
      </c>
      <c r="D13" s="25" t="n">
        <f aca="false">SUMPRODUCT(('📝 Registro'!C5:C104=B3)*('📝 Registro'!D5:D104=A13)*('📝 Registro'!F5:F104="Oídos")*('📝 Registro'!G5:G104))</f>
        <v>0</v>
      </c>
      <c r="E13" s="26" t="n">
        <f aca="false">SUMPRODUCT(('📝 Registro'!C5:C104=B3)*('📝 Registro'!D5:D104=A13)*('📝 Registro'!F5:F104="Respiratorio")*('📝 Registro'!G5:G104))</f>
        <v>0</v>
      </c>
      <c r="F13" s="27" t="n">
        <f aca="false">SUMPRODUCT(('📝 Registro'!C5:C104=B3)*('📝 Registro'!D5:D104=A13)*('📝 Registro'!F5:F104="Torso")*('📝 Registro'!G5:G104))</f>
        <v>0</v>
      </c>
      <c r="G13" s="28" t="n">
        <f aca="false">SUMPRODUCT(('📝 Registro'!C5:C104=B3)*('📝 Registro'!D5:D104=A13)*('📝 Registro'!F5:F104="Manos")*('📝 Registro'!G5:G104))</f>
        <v>0</v>
      </c>
      <c r="H13" s="29" t="n">
        <f aca="false">SUMPRODUCT(('📝 Registro'!C5:C104=B3)*('📝 Registro'!D5:D104=A13)*('📝 Registro'!F5:F104="Piernas")*('📝 Registro'!G5:G104))</f>
        <v>0</v>
      </c>
      <c r="I13" s="30" t="n">
        <f aca="false">SUMPRODUCT(('📝 Registro'!C5:C104=B3)*('📝 Registro'!D5:D104=A13)*('📝 Registro'!F5:F104="Pies")*('📝 Registro'!G5:G104))</f>
        <v>0</v>
      </c>
      <c r="J13" s="31" t="n">
        <f aca="false">SUM(B13:I13)</f>
        <v>0</v>
      </c>
      <c r="K13" s="3"/>
      <c r="L13" s="3"/>
      <c r="M13" s="3"/>
      <c r="N13" s="3"/>
      <c r="O13" s="3"/>
      <c r="P13" s="3"/>
      <c r="Q13" s="3"/>
      <c r="R13" s="3"/>
      <c r="S13" s="9"/>
      <c r="T13" s="9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customFormat="false" ht="19.5" hidden="false" customHeight="true" outlineLevel="0" collapsed="false">
      <c r="A14" s="33" t="str">
        <f aca="false">'👷 Trabajadores'!B12</f>
        <v>Antonio Quispe Lima</v>
      </c>
      <c r="B14" s="34" t="n">
        <f aca="false">SUMPRODUCT(('📝 Registro'!C5:C104=B3)*('📝 Registro'!D5:D104=A14)*('📝 Registro'!F5:F104="Cabeza")*('📝 Registro'!G5:G104))</f>
        <v>0</v>
      </c>
      <c r="C14" s="35" t="n">
        <f aca="false">SUMPRODUCT(('📝 Registro'!C5:C104=B3)*('📝 Registro'!D5:D104=A14)*('📝 Registro'!F5:F104="Ojos")*('📝 Registro'!G5:G104))</f>
        <v>0</v>
      </c>
      <c r="D14" s="36" t="n">
        <f aca="false">SUMPRODUCT(('📝 Registro'!C5:C104=B3)*('📝 Registro'!D5:D104=A14)*('📝 Registro'!F5:F104="Oídos")*('📝 Registro'!G5:G104))</f>
        <v>0</v>
      </c>
      <c r="E14" s="37" t="n">
        <f aca="false">SUMPRODUCT(('📝 Registro'!C5:C104=B3)*('📝 Registro'!D5:D104=A14)*('📝 Registro'!F5:F104="Respiratorio")*('📝 Registro'!G5:G104))</f>
        <v>0</v>
      </c>
      <c r="F14" s="38" t="n">
        <f aca="false">SUMPRODUCT(('📝 Registro'!C5:C104=B3)*('📝 Registro'!D5:D104=A14)*('📝 Registro'!F5:F104="Torso")*('📝 Registro'!G5:G104))</f>
        <v>0</v>
      </c>
      <c r="G14" s="39" t="n">
        <f aca="false">SUMPRODUCT(('📝 Registro'!C5:C104=B3)*('📝 Registro'!D5:D104=A14)*('📝 Registro'!F5:F104="Manos")*('📝 Registro'!G5:G104))</f>
        <v>0</v>
      </c>
      <c r="H14" s="40" t="n">
        <f aca="false">SUMPRODUCT(('📝 Registro'!C5:C104=B3)*('📝 Registro'!D5:D104=A14)*('📝 Registro'!F5:F104="Piernas")*('📝 Registro'!G5:G104))</f>
        <v>0</v>
      </c>
      <c r="I14" s="41" t="n">
        <f aca="false">SUMPRODUCT(('📝 Registro'!C5:C104=B3)*('📝 Registro'!D5:D104=A14)*('📝 Registro'!F5:F104="Pies")*('📝 Registro'!G5:G104))</f>
        <v>0</v>
      </c>
      <c r="J14" s="42" t="n">
        <f aca="false">SUM(B14:I14)</f>
        <v>0</v>
      </c>
      <c r="K14" s="3"/>
      <c r="L14" s="3"/>
      <c r="M14" s="3"/>
      <c r="N14" s="3"/>
      <c r="O14" s="3"/>
      <c r="P14" s="3"/>
      <c r="Q14" s="3"/>
      <c r="R14" s="3"/>
      <c r="S14" s="9"/>
      <c r="T14" s="9"/>
      <c r="U14" s="3"/>
      <c r="V14" s="3"/>
      <c r="W14" s="3"/>
      <c r="X14" s="3"/>
      <c r="Y14" s="3"/>
      <c r="Z14" s="45" t="s">
        <v>17</v>
      </c>
      <c r="AA14" s="45"/>
      <c r="AB14" s="45"/>
      <c r="AC14" s="45"/>
      <c r="AD14" s="46" t="n">
        <f aca="false">SUMPRODUCT(('📝 Registro'!C5:C104=B3)*('📝 Registro'!F5:F104="Oídos")*('📝 Registro'!G5:G104))</f>
        <v>0</v>
      </c>
    </row>
    <row r="15" customFormat="false" ht="19.5" hidden="false" customHeight="true" outlineLevel="0" collapsed="false">
      <c r="A15" s="22" t="str">
        <f aca="false">'👷 Trabajadores'!B13</f>
        <v>Francisco Paredes R.</v>
      </c>
      <c r="B15" s="23" t="n">
        <f aca="false">SUMPRODUCT(('📝 Registro'!C5:C104=B3)*('📝 Registro'!D5:D104=A15)*('📝 Registro'!F5:F104="Cabeza")*('📝 Registro'!G5:G104))</f>
        <v>0</v>
      </c>
      <c r="C15" s="24" t="n">
        <f aca="false">SUMPRODUCT(('📝 Registro'!C5:C104=B3)*('📝 Registro'!D5:D104=A15)*('📝 Registro'!F5:F104="Ojos")*('📝 Registro'!G5:G104))</f>
        <v>0</v>
      </c>
      <c r="D15" s="25" t="n">
        <f aca="false">SUMPRODUCT(('📝 Registro'!C5:C104=B3)*('📝 Registro'!D5:D104=A15)*('📝 Registro'!F5:F104="Oídos")*('📝 Registro'!G5:G104))</f>
        <v>0</v>
      </c>
      <c r="E15" s="26" t="n">
        <f aca="false">SUMPRODUCT(('📝 Registro'!C5:C104=B3)*('📝 Registro'!D5:D104=A15)*('📝 Registro'!F5:F104="Respiratorio")*('📝 Registro'!G5:G104))</f>
        <v>0</v>
      </c>
      <c r="F15" s="27" t="n">
        <f aca="false">SUMPRODUCT(('📝 Registro'!C5:C104=B3)*('📝 Registro'!D5:D104=A15)*('📝 Registro'!F5:F104="Torso")*('📝 Registro'!G5:G104))</f>
        <v>0</v>
      </c>
      <c r="G15" s="28" t="n">
        <f aca="false">SUMPRODUCT(('📝 Registro'!C5:C104=B3)*('📝 Registro'!D5:D104=A15)*('📝 Registro'!F5:F104="Manos")*('📝 Registro'!G5:G104))</f>
        <v>0</v>
      </c>
      <c r="H15" s="29" t="n">
        <f aca="false">SUMPRODUCT(('📝 Registro'!C5:C104=B3)*('📝 Registro'!D5:D104=A15)*('📝 Registro'!F5:F104="Piernas")*('📝 Registro'!G5:G104))</f>
        <v>0</v>
      </c>
      <c r="I15" s="30" t="n">
        <f aca="false">SUMPRODUCT(('📝 Registro'!C5:C104=B3)*('📝 Registro'!D5:D104=A15)*('📝 Registro'!F5:F104="Pies")*('📝 Registro'!G5:G104))</f>
        <v>0</v>
      </c>
      <c r="J15" s="31" t="n">
        <f aca="false">SUM(B15:I15)</f>
        <v>0</v>
      </c>
      <c r="K15" s="3"/>
      <c r="L15" s="3"/>
      <c r="M15" s="3"/>
      <c r="N15" s="3"/>
      <c r="O15" s="3"/>
      <c r="P15" s="3"/>
      <c r="Q15" s="3"/>
      <c r="R15" s="3"/>
      <c r="S15" s="9"/>
      <c r="T15" s="9"/>
      <c r="U15" s="3"/>
      <c r="V15" s="3"/>
      <c r="W15" s="3"/>
      <c r="X15" s="3"/>
      <c r="Y15" s="3"/>
      <c r="Z15" s="45"/>
      <c r="AA15" s="45"/>
      <c r="AB15" s="45"/>
      <c r="AC15" s="45"/>
      <c r="AD15" s="46"/>
    </row>
    <row r="16" customFormat="false" ht="19.5" hidden="false" customHeight="true" outlineLevel="0" collapsed="false">
      <c r="A16" s="33" t="str">
        <f aca="false">'👷 Trabajadores'!B14</f>
        <v>Héctor Mendoza Vega</v>
      </c>
      <c r="B16" s="34" t="n">
        <f aca="false">SUMPRODUCT(('📝 Registro'!C5:C104=B3)*('📝 Registro'!D5:D104=A16)*('📝 Registro'!F5:F104="Cabeza")*('📝 Registro'!G5:G104))</f>
        <v>0</v>
      </c>
      <c r="C16" s="35" t="n">
        <f aca="false">SUMPRODUCT(('📝 Registro'!C5:C104=B3)*('📝 Registro'!D5:D104=A16)*('📝 Registro'!F5:F104="Ojos")*('📝 Registro'!G5:G104))</f>
        <v>0</v>
      </c>
      <c r="D16" s="36" t="n">
        <f aca="false">SUMPRODUCT(('📝 Registro'!C5:C104=B3)*('📝 Registro'!D5:D104=A16)*('📝 Registro'!F5:F104="Oídos")*('📝 Registro'!G5:G104))</f>
        <v>0</v>
      </c>
      <c r="E16" s="37" t="n">
        <f aca="false">SUMPRODUCT(('📝 Registro'!C5:C104=B3)*('📝 Registro'!D5:D104=A16)*('📝 Registro'!F5:F104="Respiratorio")*('📝 Registro'!G5:G104))</f>
        <v>0</v>
      </c>
      <c r="F16" s="38" t="n">
        <f aca="false">SUMPRODUCT(('📝 Registro'!C5:C104=B3)*('📝 Registro'!D5:D104=A16)*('📝 Registro'!F5:F104="Torso")*('📝 Registro'!G5:G104))</f>
        <v>0</v>
      </c>
      <c r="G16" s="39" t="n">
        <f aca="false">SUMPRODUCT(('📝 Registro'!C5:C104=B3)*('📝 Registro'!D5:D104=A16)*('📝 Registro'!F5:F104="Manos")*('📝 Registro'!G5:G104))</f>
        <v>0</v>
      </c>
      <c r="H16" s="40" t="n">
        <f aca="false">SUMPRODUCT(('📝 Registro'!C5:C104=B3)*('📝 Registro'!D5:D104=A16)*('📝 Registro'!F5:F104="Piernas")*('📝 Registro'!G5:G104))</f>
        <v>0</v>
      </c>
      <c r="I16" s="41" t="n">
        <f aca="false">SUMPRODUCT(('📝 Registro'!C5:C104=B3)*('📝 Registro'!D5:D104=A16)*('📝 Registro'!F5:F104="Pies")*('📝 Registro'!G5:G104))</f>
        <v>0</v>
      </c>
      <c r="J16" s="42" t="n">
        <f aca="false">SUM(B16:I16)</f>
        <v>0</v>
      </c>
      <c r="K16" s="3"/>
      <c r="L16" s="3"/>
      <c r="M16" s="3"/>
      <c r="N16" s="3"/>
      <c r="O16" s="3"/>
      <c r="P16" s="9"/>
      <c r="Q16" s="9"/>
      <c r="R16" s="9"/>
      <c r="S16" s="9"/>
      <c r="T16" s="9"/>
      <c r="U16" s="9"/>
      <c r="V16" s="9"/>
      <c r="W16" s="9"/>
      <c r="X16" s="3"/>
      <c r="Y16" s="3"/>
      <c r="Z16" s="45"/>
      <c r="AA16" s="45"/>
      <c r="AB16" s="45"/>
      <c r="AC16" s="45"/>
      <c r="AD16" s="46"/>
    </row>
    <row r="17" customFormat="false" ht="27.75" hidden="false" customHeight="true" outlineLevel="0" collapsed="false">
      <c r="A17" s="47" t="s">
        <v>18</v>
      </c>
      <c r="B17" s="48" t="n">
        <f aca="false">SUM(B7:B16)</f>
        <v>0</v>
      </c>
      <c r="C17" s="48" t="n">
        <f aca="false">SUM(C7:C16)</f>
        <v>0</v>
      </c>
      <c r="D17" s="48" t="n">
        <f aca="false">SUM(D7:D16)</f>
        <v>0</v>
      </c>
      <c r="E17" s="48" t="n">
        <f aca="false">SUM(E7:E16)</f>
        <v>0</v>
      </c>
      <c r="F17" s="48" t="n">
        <f aca="false">SUM(F7:F16)</f>
        <v>0</v>
      </c>
      <c r="G17" s="48" t="n">
        <f aca="false">SUM(G7:G16)</f>
        <v>0</v>
      </c>
      <c r="H17" s="48" t="n">
        <f aca="false">SUM(H7:H16)</f>
        <v>0</v>
      </c>
      <c r="I17" s="48" t="n">
        <f aca="false">SUM(I7:I16)</f>
        <v>0</v>
      </c>
      <c r="J17" s="48" t="n">
        <f aca="false">SUM(J7:J16)</f>
        <v>0</v>
      </c>
      <c r="K17" s="3"/>
      <c r="L17" s="3"/>
      <c r="M17" s="3"/>
      <c r="N17" s="3"/>
      <c r="O17" s="3"/>
      <c r="P17" s="9"/>
      <c r="Q17" s="9"/>
      <c r="R17" s="9"/>
      <c r="S17" s="9"/>
      <c r="T17" s="9"/>
      <c r="U17" s="9"/>
      <c r="V17" s="9"/>
      <c r="W17" s="9"/>
      <c r="X17" s="3"/>
      <c r="Y17" s="3"/>
      <c r="Z17" s="3"/>
      <c r="AA17" s="3"/>
      <c r="AB17" s="3"/>
      <c r="AC17" s="3"/>
      <c r="AD17" s="3"/>
    </row>
    <row r="18" customFormat="false" ht="9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9"/>
      <c r="Q18" s="9"/>
      <c r="R18" s="9"/>
      <c r="S18" s="9"/>
      <c r="T18" s="9"/>
      <c r="U18" s="9"/>
      <c r="V18" s="9"/>
      <c r="W18" s="9"/>
      <c r="X18" s="3"/>
      <c r="Y18" s="3"/>
      <c r="Z18" s="49" t="s">
        <v>19</v>
      </c>
      <c r="AA18" s="49"/>
      <c r="AB18" s="49"/>
      <c r="AC18" s="49"/>
      <c r="AD18" s="50" t="n">
        <f aca="false">SUMPRODUCT(('📝 Registro'!C5:C104=B3)*('📝 Registro'!F5:F104="Respiratorio")*('📝 Registro'!G5:G104))</f>
        <v>0</v>
      </c>
    </row>
    <row r="19" customFormat="false" ht="9.7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9"/>
      <c r="Q19" s="9"/>
      <c r="R19" s="9"/>
      <c r="S19" s="9"/>
      <c r="T19" s="9"/>
      <c r="U19" s="9"/>
      <c r="V19" s="9"/>
      <c r="W19" s="9"/>
      <c r="X19" s="3"/>
      <c r="Y19" s="3"/>
      <c r="Z19" s="49"/>
      <c r="AA19" s="49"/>
      <c r="AB19" s="49"/>
      <c r="AC19" s="49"/>
      <c r="AD19" s="50"/>
    </row>
    <row r="20" customFormat="false" ht="24" hidden="false" customHeight="true" outlineLevel="0" collapsed="false">
      <c r="A20" s="51" t="s">
        <v>20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3"/>
      <c r="P20" s="9"/>
      <c r="Q20" s="9"/>
      <c r="R20" s="9"/>
      <c r="S20" s="9"/>
      <c r="T20" s="9"/>
      <c r="U20" s="9"/>
      <c r="V20" s="9"/>
      <c r="W20" s="9"/>
      <c r="X20" s="3"/>
      <c r="Y20" s="3"/>
      <c r="Z20" s="49"/>
      <c r="AA20" s="49"/>
      <c r="AB20" s="49"/>
      <c r="AC20" s="49"/>
      <c r="AD20" s="50"/>
    </row>
    <row r="21" customFormat="false" ht="25.5" hidden="false" customHeight="true" outlineLevel="0" collapsed="false">
      <c r="A21" s="52" t="s">
        <v>21</v>
      </c>
      <c r="B21" s="53" t="s">
        <v>22</v>
      </c>
      <c r="C21" s="54" t="str">
        <f aca="false">'👷 Trabajadores'!B5</f>
        <v>Juan Pérez García</v>
      </c>
      <c r="D21" s="54" t="str">
        <f aca="false">'👷 Trabajadores'!B6</f>
        <v>Carlos López Ríos</v>
      </c>
      <c r="E21" s="54" t="str">
        <f aca="false">'👷 Trabajadores'!B7</f>
        <v>Miguel Torres Díaz</v>
      </c>
      <c r="F21" s="54" t="str">
        <f aca="false">'👷 Trabajadores'!B8</f>
        <v>Pedro Vargas Silva</v>
      </c>
      <c r="G21" s="54" t="str">
        <f aca="false">'👷 Trabajadores'!B9</f>
        <v>Luis Ramos Flores</v>
      </c>
      <c r="H21" s="54" t="str">
        <f aca="false">'👷 Trabajadores'!B10</f>
        <v>Jorge Huanca Mamani</v>
      </c>
      <c r="I21" s="54" t="str">
        <f aca="false">'👷 Trabajadores'!B11</f>
        <v>Roberto Soto Cruz</v>
      </c>
      <c r="J21" s="54" t="str">
        <f aca="false">'👷 Trabajadores'!B12</f>
        <v>Antonio Quispe Lima</v>
      </c>
      <c r="K21" s="54" t="str">
        <f aca="false">'👷 Trabajadores'!B13</f>
        <v>Francisco Paredes R.</v>
      </c>
      <c r="L21" s="54" t="str">
        <f aca="false">'👷 Trabajadores'!B14</f>
        <v>Héctor Mendoza Vega</v>
      </c>
      <c r="M21" s="55" t="s">
        <v>14</v>
      </c>
      <c r="N21" s="3"/>
      <c r="O21" s="3"/>
      <c r="P21" s="9"/>
      <c r="Q21" s="9"/>
      <c r="R21" s="9"/>
      <c r="S21" s="9"/>
      <c r="T21" s="9"/>
      <c r="U21" s="9"/>
      <c r="V21" s="9"/>
      <c r="W21" s="9"/>
      <c r="X21" s="3"/>
      <c r="Y21" s="3"/>
      <c r="Z21" s="3"/>
      <c r="AA21" s="3"/>
      <c r="AB21" s="3"/>
      <c r="AC21" s="3"/>
      <c r="AD21" s="3"/>
    </row>
    <row r="22" customFormat="false" ht="19.5" hidden="false" customHeight="true" outlineLevel="0" collapsed="false">
      <c r="A22" s="22" t="str">
        <f aca="false">IFERROR(INDEX('📋 Catálogo EPP'!$B$5:$B$24,1),"")</f>
        <v>Casco de Seguridad</v>
      </c>
      <c r="B22" s="56" t="str">
        <f aca="false">IFERROR(INDEX('📋 Catálogo EPP'!$C$5:$C$24,1),"")</f>
        <v>Cabeza</v>
      </c>
      <c r="C22" s="57" t="n">
        <f aca="false">SUMPRODUCT(('📝 Registro'!C5:C104=B3)*('📝 Registro'!D5:D104='👷 Trabajadores'!B5)*('📝 Registro'!E5:E104=A22)*('📝 Registro'!G5:G104))</f>
        <v>0</v>
      </c>
      <c r="D22" s="57" t="n">
        <f aca="false">SUMPRODUCT(('📝 Registro'!C5:C104=B3)*('📝 Registro'!D5:D104='👷 Trabajadores'!B6)*('📝 Registro'!E5:E104=A22)*('📝 Registro'!G5:G104))</f>
        <v>0</v>
      </c>
      <c r="E22" s="57" t="n">
        <f aca="false">SUMPRODUCT(('📝 Registro'!C5:C104=B3)*('📝 Registro'!D5:D104='👷 Trabajadores'!B7)*('📝 Registro'!E5:E104=A22)*('📝 Registro'!G5:G104))</f>
        <v>0</v>
      </c>
      <c r="F22" s="57" t="n">
        <f aca="false">SUMPRODUCT(('📝 Registro'!C5:C104=B3)*('📝 Registro'!D5:D104='👷 Trabajadores'!B8)*('📝 Registro'!E5:E104=A22)*('📝 Registro'!G5:G104))</f>
        <v>0</v>
      </c>
      <c r="G22" s="57" t="n">
        <f aca="false">SUMPRODUCT(('📝 Registro'!C5:C104=B3)*('📝 Registro'!D5:D104='👷 Trabajadores'!B9)*('📝 Registro'!E5:E104=A22)*('📝 Registro'!G5:G104))</f>
        <v>0</v>
      </c>
      <c r="H22" s="57" t="n">
        <f aca="false">SUMPRODUCT(('📝 Registro'!C5:C104=B3)*('📝 Registro'!D5:D104='👷 Trabajadores'!B10)*('📝 Registro'!E5:E104=A22)*('📝 Registro'!G5:G104))</f>
        <v>0</v>
      </c>
      <c r="I22" s="57" t="n">
        <f aca="false">SUMPRODUCT(('📝 Registro'!C5:C104=B3)*('📝 Registro'!D5:D104='👷 Trabajadores'!B11)*('📝 Registro'!E5:E104=A22)*('📝 Registro'!G5:G104))</f>
        <v>0</v>
      </c>
      <c r="J22" s="57" t="n">
        <f aca="false">SUMPRODUCT(('📝 Registro'!C5:C104=B3)*('📝 Registro'!D5:D104='👷 Trabajadores'!B12)*('📝 Registro'!E5:E104=A22)*('📝 Registro'!G5:G104))</f>
        <v>0</v>
      </c>
      <c r="K22" s="57" t="n">
        <f aca="false">SUMPRODUCT(('📝 Registro'!C5:C104=B3)*('📝 Registro'!D5:D104='👷 Trabajadores'!B13)*('📝 Registro'!E5:E104=A22)*('📝 Registro'!G5:G104))</f>
        <v>0</v>
      </c>
      <c r="L22" s="57" t="n">
        <f aca="false">SUMPRODUCT(('📝 Registro'!C5:C104=B3)*('📝 Registro'!D5:D104='👷 Trabajadores'!B14)*('📝 Registro'!E5:E104=A22)*('📝 Registro'!G5:G104))</f>
        <v>0</v>
      </c>
      <c r="M22" s="58" t="n">
        <f aca="false">SUM(C22:L22)</f>
        <v>0</v>
      </c>
      <c r="N22" s="3"/>
      <c r="O22" s="3"/>
      <c r="P22" s="9"/>
      <c r="Q22" s="9"/>
      <c r="R22" s="9"/>
      <c r="S22" s="9"/>
      <c r="T22" s="9"/>
      <c r="U22" s="9"/>
      <c r="V22" s="9"/>
      <c r="W22" s="9"/>
      <c r="X22" s="3"/>
      <c r="Y22" s="3"/>
      <c r="Z22" s="59" t="s">
        <v>23</v>
      </c>
      <c r="AA22" s="59"/>
      <c r="AB22" s="59"/>
      <c r="AC22" s="59"/>
      <c r="AD22" s="60" t="n">
        <f aca="false">SUMPRODUCT(('📝 Registro'!C5:C104=B3)*('📝 Registro'!F5:F104="Torso")*('📝 Registro'!G5:G104))</f>
        <v>0</v>
      </c>
    </row>
    <row r="23" customFormat="false" ht="19.5" hidden="false" customHeight="true" outlineLevel="0" collapsed="false">
      <c r="A23" s="33" t="str">
        <f aca="false">IFERROR(INDEX('📋 Catálogo EPP'!$B$5:$B$24,2),"")</f>
        <v>Lentes de Seguridad</v>
      </c>
      <c r="B23" s="61" t="str">
        <f aca="false">IFERROR(INDEX('📋 Catálogo EPP'!$C$5:$C$24,2),"")</f>
        <v>Ojos</v>
      </c>
      <c r="C23" s="62" t="n">
        <f aca="false">SUMPRODUCT(('📝 Registro'!C5:C104=B3)*('📝 Registro'!D5:D104='👷 Trabajadores'!B5)*('📝 Registro'!E5:E104=A23)*('📝 Registro'!G5:G104))</f>
        <v>0</v>
      </c>
      <c r="D23" s="62" t="n">
        <f aca="false">SUMPRODUCT(('📝 Registro'!C5:C104=B3)*('📝 Registro'!D5:D104='👷 Trabajadores'!B6)*('📝 Registro'!E5:E104=A23)*('📝 Registro'!G5:G104))</f>
        <v>0</v>
      </c>
      <c r="E23" s="62" t="n">
        <f aca="false">SUMPRODUCT(('📝 Registro'!C5:C104=B3)*('📝 Registro'!D5:D104='👷 Trabajadores'!B7)*('📝 Registro'!E5:E104=A23)*('📝 Registro'!G5:G104))</f>
        <v>0</v>
      </c>
      <c r="F23" s="62" t="n">
        <f aca="false">SUMPRODUCT(('📝 Registro'!C5:C104=B3)*('📝 Registro'!D5:D104='👷 Trabajadores'!B8)*('📝 Registro'!E5:E104=A23)*('📝 Registro'!G5:G104))</f>
        <v>0</v>
      </c>
      <c r="G23" s="62" t="n">
        <f aca="false">SUMPRODUCT(('📝 Registro'!C5:C104=B3)*('📝 Registro'!D5:D104='👷 Trabajadores'!B9)*('📝 Registro'!E5:E104=A23)*('📝 Registro'!G5:G104))</f>
        <v>0</v>
      </c>
      <c r="H23" s="62" t="n">
        <f aca="false">SUMPRODUCT(('📝 Registro'!C5:C104=B3)*('📝 Registro'!D5:D104='👷 Trabajadores'!B10)*('📝 Registro'!E5:E104=A23)*('📝 Registro'!G5:G104))</f>
        <v>0</v>
      </c>
      <c r="I23" s="62" t="n">
        <f aca="false">SUMPRODUCT(('📝 Registro'!C5:C104=B3)*('📝 Registro'!D5:D104='👷 Trabajadores'!B11)*('📝 Registro'!E5:E104=A23)*('📝 Registro'!G5:G104))</f>
        <v>0</v>
      </c>
      <c r="J23" s="62" t="n">
        <f aca="false">SUMPRODUCT(('📝 Registro'!C5:C104=B3)*('📝 Registro'!D5:D104='👷 Trabajadores'!B12)*('📝 Registro'!E5:E104=A23)*('📝 Registro'!G5:G104))</f>
        <v>0</v>
      </c>
      <c r="K23" s="62" t="n">
        <f aca="false">SUMPRODUCT(('📝 Registro'!C5:C104=B3)*('📝 Registro'!D5:D104='👷 Trabajadores'!B13)*('📝 Registro'!E5:E104=A23)*('📝 Registro'!G5:G104))</f>
        <v>0</v>
      </c>
      <c r="L23" s="62" t="n">
        <f aca="false">SUMPRODUCT(('📝 Registro'!C5:C104=B3)*('📝 Registro'!D5:D104='👷 Trabajadores'!B14)*('📝 Registro'!E5:E104=A23)*('📝 Registro'!G5:G104))</f>
        <v>0</v>
      </c>
      <c r="M23" s="63" t="n">
        <f aca="false">SUM(C23:L23)</f>
        <v>0</v>
      </c>
      <c r="N23" s="3"/>
      <c r="O23" s="3"/>
      <c r="P23" s="9"/>
      <c r="Q23" s="9"/>
      <c r="R23" s="9"/>
      <c r="S23" s="9"/>
      <c r="T23" s="9"/>
      <c r="U23" s="9"/>
      <c r="V23" s="9"/>
      <c r="W23" s="9"/>
      <c r="X23" s="3"/>
      <c r="Y23" s="3"/>
      <c r="Z23" s="59"/>
      <c r="AA23" s="59"/>
      <c r="AB23" s="59"/>
      <c r="AC23" s="59"/>
      <c r="AD23" s="60"/>
    </row>
    <row r="24" customFormat="false" ht="19.5" hidden="false" customHeight="true" outlineLevel="0" collapsed="false">
      <c r="A24" s="22" t="str">
        <f aca="false">IFERROR(INDEX('📋 Catálogo EPP'!$B$5:$B$24,3),"")</f>
        <v>Tapones Auditivos</v>
      </c>
      <c r="B24" s="64" t="str">
        <f aca="false">IFERROR(INDEX('📋 Catálogo EPP'!$C$5:$C$24,3),"")</f>
        <v>Oídos</v>
      </c>
      <c r="C24" s="65" t="n">
        <f aca="false">SUMPRODUCT(('📝 Registro'!C5:C104=B3)*('📝 Registro'!D5:D104='👷 Trabajadores'!B5)*('📝 Registro'!E5:E104=A24)*('📝 Registro'!G5:G104))</f>
        <v>0</v>
      </c>
      <c r="D24" s="65" t="n">
        <f aca="false">SUMPRODUCT(('📝 Registro'!C5:C104=B3)*('📝 Registro'!D5:D104='👷 Trabajadores'!B6)*('📝 Registro'!E5:E104=A24)*('📝 Registro'!G5:G104))</f>
        <v>0</v>
      </c>
      <c r="E24" s="65" t="n">
        <f aca="false">SUMPRODUCT(('📝 Registro'!C5:C104=B3)*('📝 Registro'!D5:D104='👷 Trabajadores'!B7)*('📝 Registro'!E5:E104=A24)*('📝 Registro'!G5:G104))</f>
        <v>0</v>
      </c>
      <c r="F24" s="65" t="n">
        <f aca="false">SUMPRODUCT(('📝 Registro'!C5:C104=B3)*('📝 Registro'!D5:D104='👷 Trabajadores'!B8)*('📝 Registro'!E5:E104=A24)*('📝 Registro'!G5:G104))</f>
        <v>0</v>
      </c>
      <c r="G24" s="65" t="n">
        <f aca="false">SUMPRODUCT(('📝 Registro'!C5:C104=B3)*('📝 Registro'!D5:D104='👷 Trabajadores'!B9)*('📝 Registro'!E5:E104=A24)*('📝 Registro'!G5:G104))</f>
        <v>0</v>
      </c>
      <c r="H24" s="65" t="n">
        <f aca="false">SUMPRODUCT(('📝 Registro'!C5:C104=B3)*('📝 Registro'!D5:D104='👷 Trabajadores'!B10)*('📝 Registro'!E5:E104=A24)*('📝 Registro'!G5:G104))</f>
        <v>0</v>
      </c>
      <c r="I24" s="65" t="n">
        <f aca="false">SUMPRODUCT(('📝 Registro'!C5:C104=B3)*('📝 Registro'!D5:D104='👷 Trabajadores'!B11)*('📝 Registro'!E5:E104=A24)*('📝 Registro'!G5:G104))</f>
        <v>0</v>
      </c>
      <c r="J24" s="65" t="n">
        <f aca="false">SUMPRODUCT(('📝 Registro'!C5:C104=B3)*('📝 Registro'!D5:D104='👷 Trabajadores'!B12)*('📝 Registro'!E5:E104=A24)*('📝 Registro'!G5:G104))</f>
        <v>0</v>
      </c>
      <c r="K24" s="65" t="n">
        <f aca="false">SUMPRODUCT(('📝 Registro'!C5:C104=B3)*('📝 Registro'!D5:D104='👷 Trabajadores'!B13)*('📝 Registro'!E5:E104=A24)*('📝 Registro'!G5:G104))</f>
        <v>0</v>
      </c>
      <c r="L24" s="65" t="n">
        <f aca="false">SUMPRODUCT(('📝 Registro'!C5:C104=B3)*('📝 Registro'!D5:D104='👷 Trabajadores'!B14)*('📝 Registro'!E5:E104=A24)*('📝 Registro'!G5:G104))</f>
        <v>0</v>
      </c>
      <c r="M24" s="58" t="n">
        <f aca="false">SUM(C24:L24)</f>
        <v>0</v>
      </c>
      <c r="N24" s="3"/>
      <c r="O24" s="3"/>
      <c r="P24" s="9"/>
      <c r="Q24" s="9"/>
      <c r="R24" s="9"/>
      <c r="S24" s="9"/>
      <c r="T24" s="9"/>
      <c r="U24" s="9"/>
      <c r="V24" s="9"/>
      <c r="W24" s="9"/>
      <c r="X24" s="3"/>
      <c r="Y24" s="3"/>
      <c r="Z24" s="59"/>
      <c r="AA24" s="59"/>
      <c r="AB24" s="59"/>
      <c r="AC24" s="59"/>
      <c r="AD24" s="60"/>
    </row>
    <row r="25" customFormat="false" ht="19.5" hidden="false" customHeight="true" outlineLevel="0" collapsed="false">
      <c r="A25" s="33" t="str">
        <f aca="false">IFERROR(INDEX('📋 Catálogo EPP'!$B$5:$B$24,4),"")</f>
        <v>Respirador / Mascarilla</v>
      </c>
      <c r="B25" s="66" t="str">
        <f aca="false">IFERROR(INDEX('📋 Catálogo EPP'!$C$5:$C$24,4),"")</f>
        <v>Respiratorio</v>
      </c>
      <c r="C25" s="67" t="n">
        <f aca="false">SUMPRODUCT(('📝 Registro'!C5:C104=B3)*('📝 Registro'!D5:D104='👷 Trabajadores'!B5)*('📝 Registro'!E5:E104=A25)*('📝 Registro'!G5:G104))</f>
        <v>0</v>
      </c>
      <c r="D25" s="67" t="n">
        <f aca="false">SUMPRODUCT(('📝 Registro'!C5:C104=B3)*('📝 Registro'!D5:D104='👷 Trabajadores'!B6)*('📝 Registro'!E5:E104=A25)*('📝 Registro'!G5:G104))</f>
        <v>0</v>
      </c>
      <c r="E25" s="67" t="n">
        <f aca="false">SUMPRODUCT(('📝 Registro'!C5:C104=B3)*('📝 Registro'!D5:D104='👷 Trabajadores'!B7)*('📝 Registro'!E5:E104=A25)*('📝 Registro'!G5:G104))</f>
        <v>0</v>
      </c>
      <c r="F25" s="67" t="n">
        <f aca="false">SUMPRODUCT(('📝 Registro'!C5:C104=B3)*('📝 Registro'!D5:D104='👷 Trabajadores'!B8)*('📝 Registro'!E5:E104=A25)*('📝 Registro'!G5:G104))</f>
        <v>0</v>
      </c>
      <c r="G25" s="67" t="n">
        <f aca="false">SUMPRODUCT(('📝 Registro'!C5:C104=B3)*('📝 Registro'!D5:D104='👷 Trabajadores'!B9)*('📝 Registro'!E5:E104=A25)*('📝 Registro'!G5:G104))</f>
        <v>0</v>
      </c>
      <c r="H25" s="67" t="n">
        <f aca="false">SUMPRODUCT(('📝 Registro'!C5:C104=B3)*('📝 Registro'!D5:D104='👷 Trabajadores'!B10)*('📝 Registro'!E5:E104=A25)*('📝 Registro'!G5:G104))</f>
        <v>0</v>
      </c>
      <c r="I25" s="67" t="n">
        <f aca="false">SUMPRODUCT(('📝 Registro'!C5:C104=B3)*('📝 Registro'!D5:D104='👷 Trabajadores'!B11)*('📝 Registro'!E5:E104=A25)*('📝 Registro'!G5:G104))</f>
        <v>0</v>
      </c>
      <c r="J25" s="67" t="n">
        <f aca="false">SUMPRODUCT(('📝 Registro'!C5:C104=B3)*('📝 Registro'!D5:D104='👷 Trabajadores'!B12)*('📝 Registro'!E5:E104=A25)*('📝 Registro'!G5:G104))</f>
        <v>0</v>
      </c>
      <c r="K25" s="67" t="n">
        <f aca="false">SUMPRODUCT(('📝 Registro'!C5:C104=B3)*('📝 Registro'!D5:D104='👷 Trabajadores'!B13)*('📝 Registro'!E5:E104=A25)*('📝 Registro'!G5:G104))</f>
        <v>0</v>
      </c>
      <c r="L25" s="67" t="n">
        <f aca="false">SUMPRODUCT(('📝 Registro'!C5:C104=B3)*('📝 Registro'!D5:D104='👷 Trabajadores'!B14)*('📝 Registro'!E5:E104=A25)*('📝 Registro'!G5:G104))</f>
        <v>0</v>
      </c>
      <c r="M25" s="63" t="n">
        <f aca="false">SUM(C25:L25)</f>
        <v>0</v>
      </c>
      <c r="N25" s="3"/>
      <c r="O25" s="3"/>
      <c r="P25" s="9"/>
      <c r="Q25" s="9"/>
      <c r="R25" s="9"/>
      <c r="S25" s="9"/>
      <c r="T25" s="9"/>
      <c r="U25" s="9"/>
      <c r="V25" s="9"/>
      <c r="W25" s="9"/>
      <c r="X25" s="3"/>
      <c r="Y25" s="3"/>
      <c r="Z25" s="3"/>
      <c r="AA25" s="3"/>
      <c r="AB25" s="3"/>
      <c r="AC25" s="3"/>
      <c r="AD25" s="3"/>
    </row>
    <row r="26" customFormat="false" ht="19.5" hidden="false" customHeight="true" outlineLevel="0" collapsed="false">
      <c r="A26" s="22" t="str">
        <f aca="false">IFERROR(INDEX('📋 Catálogo EPP'!$B$5:$B$24,5),"")</f>
        <v>Chaleco Reflectivo</v>
      </c>
      <c r="B26" s="68" t="str">
        <f aca="false">IFERROR(INDEX('📋 Catálogo EPP'!$C$5:$C$24,5),"")</f>
        <v>Torso</v>
      </c>
      <c r="C26" s="69" t="n">
        <f aca="false">SUMPRODUCT(('📝 Registro'!C5:C104=B3)*('📝 Registro'!D5:D104='👷 Trabajadores'!B5)*('📝 Registro'!E5:E104=A26)*('📝 Registro'!G5:G104))</f>
        <v>0</v>
      </c>
      <c r="D26" s="69" t="n">
        <f aca="false">SUMPRODUCT(('📝 Registro'!C5:C104=B3)*('📝 Registro'!D5:D104='👷 Trabajadores'!B6)*('📝 Registro'!E5:E104=A26)*('📝 Registro'!G5:G104))</f>
        <v>0</v>
      </c>
      <c r="E26" s="69" t="n">
        <f aca="false">SUMPRODUCT(('📝 Registro'!C5:C104=B3)*('📝 Registro'!D5:D104='👷 Trabajadores'!B7)*('📝 Registro'!E5:E104=A26)*('📝 Registro'!G5:G104))</f>
        <v>0</v>
      </c>
      <c r="F26" s="69" t="n">
        <f aca="false">SUMPRODUCT(('📝 Registro'!C5:C104=B3)*('📝 Registro'!D5:D104='👷 Trabajadores'!B8)*('📝 Registro'!E5:E104=A26)*('📝 Registro'!G5:G104))</f>
        <v>0</v>
      </c>
      <c r="G26" s="69" t="n">
        <f aca="false">SUMPRODUCT(('📝 Registro'!C5:C104=B3)*('📝 Registro'!D5:D104='👷 Trabajadores'!B9)*('📝 Registro'!E5:E104=A26)*('📝 Registro'!G5:G104))</f>
        <v>0</v>
      </c>
      <c r="H26" s="69" t="n">
        <f aca="false">SUMPRODUCT(('📝 Registro'!C5:C104=B3)*('📝 Registro'!D5:D104='👷 Trabajadores'!B10)*('📝 Registro'!E5:E104=A26)*('📝 Registro'!G5:G104))</f>
        <v>0</v>
      </c>
      <c r="I26" s="69" t="n">
        <f aca="false">SUMPRODUCT(('📝 Registro'!C5:C104=B3)*('📝 Registro'!D5:D104='👷 Trabajadores'!B11)*('📝 Registro'!E5:E104=A26)*('📝 Registro'!G5:G104))</f>
        <v>0</v>
      </c>
      <c r="J26" s="69" t="n">
        <f aca="false">SUMPRODUCT(('📝 Registro'!C5:C104=B3)*('📝 Registro'!D5:D104='👷 Trabajadores'!B12)*('📝 Registro'!E5:E104=A26)*('📝 Registro'!G5:G104))</f>
        <v>0</v>
      </c>
      <c r="K26" s="69" t="n">
        <f aca="false">SUMPRODUCT(('📝 Registro'!C5:C104=B3)*('📝 Registro'!D5:D104='👷 Trabajadores'!B13)*('📝 Registro'!E5:E104=A26)*('📝 Registro'!G5:G104))</f>
        <v>0</v>
      </c>
      <c r="L26" s="69" t="n">
        <f aca="false">SUMPRODUCT(('📝 Registro'!C5:C104=B3)*('📝 Registro'!D5:D104='👷 Trabajadores'!B14)*('📝 Registro'!E5:E104=A26)*('📝 Registro'!G5:G104))</f>
        <v>0</v>
      </c>
      <c r="M26" s="58" t="n">
        <f aca="false">SUM(C26:L26)</f>
        <v>0</v>
      </c>
      <c r="N26" s="3"/>
      <c r="O26" s="3"/>
      <c r="P26" s="9"/>
      <c r="Q26" s="9"/>
      <c r="R26" s="9"/>
      <c r="S26" s="9"/>
      <c r="T26" s="9"/>
      <c r="U26" s="9"/>
      <c r="V26" s="9"/>
      <c r="W26" s="9"/>
      <c r="X26" s="3"/>
      <c r="Y26" s="3"/>
      <c r="Z26" s="3"/>
      <c r="AA26" s="3"/>
      <c r="AB26" s="3"/>
      <c r="AC26" s="3"/>
      <c r="AD26" s="3"/>
    </row>
    <row r="27" customFormat="false" ht="19.5" hidden="false" customHeight="true" outlineLevel="0" collapsed="false">
      <c r="A27" s="33" t="str">
        <f aca="false">IFERROR(INDEX('📋 Catálogo EPP'!$B$5:$B$24,6),"")</f>
        <v>Polo Manga Larga</v>
      </c>
      <c r="B27" s="70" t="str">
        <f aca="false">IFERROR(INDEX('📋 Catálogo EPP'!$C$5:$C$24,6),"")</f>
        <v>Torso</v>
      </c>
      <c r="C27" s="71" t="n">
        <f aca="false">SUMPRODUCT(('📝 Registro'!C5:C104=B3)*('📝 Registro'!D5:D104='👷 Trabajadores'!B5)*('📝 Registro'!E5:E104=A27)*('📝 Registro'!G5:G104))</f>
        <v>0</v>
      </c>
      <c r="D27" s="71" t="n">
        <f aca="false">SUMPRODUCT(('📝 Registro'!C5:C104=B3)*('📝 Registro'!D5:D104='👷 Trabajadores'!B6)*('📝 Registro'!E5:E104=A27)*('📝 Registro'!G5:G104))</f>
        <v>0</v>
      </c>
      <c r="E27" s="71" t="n">
        <f aca="false">SUMPRODUCT(('📝 Registro'!C5:C104=B3)*('📝 Registro'!D5:D104='👷 Trabajadores'!B7)*('📝 Registro'!E5:E104=A27)*('📝 Registro'!G5:G104))</f>
        <v>0</v>
      </c>
      <c r="F27" s="71" t="n">
        <f aca="false">SUMPRODUCT(('📝 Registro'!C5:C104=B3)*('📝 Registro'!D5:D104='👷 Trabajadores'!B8)*('📝 Registro'!E5:E104=A27)*('📝 Registro'!G5:G104))</f>
        <v>0</v>
      </c>
      <c r="G27" s="71" t="n">
        <f aca="false">SUMPRODUCT(('📝 Registro'!C5:C104=B3)*('📝 Registro'!D5:D104='👷 Trabajadores'!B9)*('📝 Registro'!E5:E104=A27)*('📝 Registro'!G5:G104))</f>
        <v>0</v>
      </c>
      <c r="H27" s="71" t="n">
        <f aca="false">SUMPRODUCT(('📝 Registro'!C5:C104=B3)*('📝 Registro'!D5:D104='👷 Trabajadores'!B10)*('📝 Registro'!E5:E104=A27)*('📝 Registro'!G5:G104))</f>
        <v>0</v>
      </c>
      <c r="I27" s="71" t="n">
        <f aca="false">SUMPRODUCT(('📝 Registro'!C5:C104=B3)*('📝 Registro'!D5:D104='👷 Trabajadores'!B11)*('📝 Registro'!E5:E104=A27)*('📝 Registro'!G5:G104))</f>
        <v>0</v>
      </c>
      <c r="J27" s="71" t="n">
        <f aca="false">SUMPRODUCT(('📝 Registro'!C5:C104=B3)*('📝 Registro'!D5:D104='👷 Trabajadores'!B12)*('📝 Registro'!E5:E104=A27)*('📝 Registro'!G5:G104))</f>
        <v>0</v>
      </c>
      <c r="K27" s="71" t="n">
        <f aca="false">SUMPRODUCT(('📝 Registro'!C5:C104=B3)*('📝 Registro'!D5:D104='👷 Trabajadores'!B13)*('📝 Registro'!E5:E104=A27)*('📝 Registro'!G5:G104))</f>
        <v>0</v>
      </c>
      <c r="L27" s="71" t="n">
        <f aca="false">SUMPRODUCT(('📝 Registro'!C5:C104=B3)*('📝 Registro'!D5:D104='👷 Trabajadores'!B14)*('📝 Registro'!E5:E104=A27)*('📝 Registro'!G5:G104))</f>
        <v>0</v>
      </c>
      <c r="M27" s="63" t="n">
        <f aca="false">SUM(C27:L27)</f>
        <v>0</v>
      </c>
      <c r="N27" s="3"/>
      <c r="O27" s="3"/>
      <c r="P27" s="9"/>
      <c r="Q27" s="9"/>
      <c r="R27" s="9"/>
      <c r="S27" s="9"/>
      <c r="T27" s="9"/>
      <c r="U27" s="9"/>
      <c r="V27" s="9"/>
      <c r="W27" s="9"/>
      <c r="X27" s="3"/>
      <c r="Y27" s="3"/>
      <c r="Z27" s="3"/>
      <c r="AA27" s="3"/>
      <c r="AB27" s="3"/>
      <c r="AC27" s="3"/>
      <c r="AD27" s="3"/>
    </row>
    <row r="28" customFormat="false" ht="19.5" hidden="false" customHeight="true" outlineLevel="0" collapsed="false">
      <c r="A28" s="22" t="str">
        <f aca="false">IFERROR(INDEX('📋 Catálogo EPP'!$B$5:$B$24,7),"")</f>
        <v>Guantes de Seguridad</v>
      </c>
      <c r="B28" s="72" t="str">
        <f aca="false">IFERROR(INDEX('📋 Catálogo EPP'!$C$5:$C$24,7),"")</f>
        <v>Manos</v>
      </c>
      <c r="C28" s="73" t="n">
        <f aca="false">SUMPRODUCT(('📝 Registro'!C5:C104=B3)*('📝 Registro'!D5:D104='👷 Trabajadores'!B5)*('📝 Registro'!E5:E104=A28)*('📝 Registro'!G5:G104))</f>
        <v>0</v>
      </c>
      <c r="D28" s="73" t="n">
        <f aca="false">SUMPRODUCT(('📝 Registro'!C5:C104=B3)*('📝 Registro'!D5:D104='👷 Trabajadores'!B6)*('📝 Registro'!E5:E104=A28)*('📝 Registro'!G5:G104))</f>
        <v>0</v>
      </c>
      <c r="E28" s="73" t="n">
        <f aca="false">SUMPRODUCT(('📝 Registro'!C5:C104=B3)*('📝 Registro'!D5:D104='👷 Trabajadores'!B7)*('📝 Registro'!E5:E104=A28)*('📝 Registro'!G5:G104))</f>
        <v>0</v>
      </c>
      <c r="F28" s="73" t="n">
        <f aca="false">SUMPRODUCT(('📝 Registro'!C5:C104=B3)*('📝 Registro'!D5:D104='👷 Trabajadores'!B8)*('📝 Registro'!E5:E104=A28)*('📝 Registro'!G5:G104))</f>
        <v>0</v>
      </c>
      <c r="G28" s="73" t="n">
        <f aca="false">SUMPRODUCT(('📝 Registro'!C5:C104=B3)*('📝 Registro'!D5:D104='👷 Trabajadores'!B9)*('📝 Registro'!E5:E104=A28)*('📝 Registro'!G5:G104))</f>
        <v>0</v>
      </c>
      <c r="H28" s="73" t="n">
        <f aca="false">SUMPRODUCT(('📝 Registro'!C5:C104=B3)*('📝 Registro'!D5:D104='👷 Trabajadores'!B10)*('📝 Registro'!E5:E104=A28)*('📝 Registro'!G5:G104))</f>
        <v>0</v>
      </c>
      <c r="I28" s="73" t="n">
        <f aca="false">SUMPRODUCT(('📝 Registro'!C5:C104=B3)*('📝 Registro'!D5:D104='👷 Trabajadores'!B11)*('📝 Registro'!E5:E104=A28)*('📝 Registro'!G5:G104))</f>
        <v>0</v>
      </c>
      <c r="J28" s="73" t="n">
        <f aca="false">SUMPRODUCT(('📝 Registro'!C5:C104=B3)*('📝 Registro'!D5:D104='👷 Trabajadores'!B12)*('📝 Registro'!E5:E104=A28)*('📝 Registro'!G5:G104))</f>
        <v>0</v>
      </c>
      <c r="K28" s="73" t="n">
        <f aca="false">SUMPRODUCT(('📝 Registro'!C5:C104=B3)*('📝 Registro'!D5:D104='👷 Trabajadores'!B13)*('📝 Registro'!E5:E104=A28)*('📝 Registro'!G5:G104))</f>
        <v>0</v>
      </c>
      <c r="L28" s="73" t="n">
        <f aca="false">SUMPRODUCT(('📝 Registro'!C5:C104=B3)*('📝 Registro'!D5:D104='👷 Trabajadores'!B14)*('📝 Registro'!E5:E104=A28)*('📝 Registro'!G5:G104))</f>
        <v>0</v>
      </c>
      <c r="M28" s="58" t="n">
        <f aca="false">SUM(C28:L28)</f>
        <v>0</v>
      </c>
      <c r="N28" s="3"/>
      <c r="O28" s="3"/>
      <c r="P28" s="9"/>
      <c r="Q28" s="9"/>
      <c r="R28" s="9"/>
      <c r="S28" s="9"/>
      <c r="T28" s="9"/>
      <c r="U28" s="9"/>
      <c r="V28" s="9"/>
      <c r="W28" s="9"/>
      <c r="X28" s="3"/>
      <c r="Y28" s="3"/>
      <c r="Z28" s="74" t="s">
        <v>24</v>
      </c>
      <c r="AA28" s="74"/>
      <c r="AB28" s="74"/>
      <c r="AC28" s="74"/>
      <c r="AD28" s="75" t="n">
        <f aca="false">SUMPRODUCT(('📝 Registro'!C5:C104=B3)*('📝 Registro'!F5:F104="Manos")*('📝 Registro'!G5:G104))</f>
        <v>0</v>
      </c>
    </row>
    <row r="29" customFormat="false" ht="19.5" hidden="false" customHeight="true" outlineLevel="0" collapsed="false">
      <c r="A29" s="33" t="str">
        <f aca="false">IFERROR(INDEX('📋 Catálogo EPP'!$B$5:$B$24,8),"")</f>
        <v>Pantalón de Trabajo</v>
      </c>
      <c r="B29" s="76" t="str">
        <f aca="false">IFERROR(INDEX('📋 Catálogo EPP'!$C$5:$C$24,8),"")</f>
        <v>Piernas</v>
      </c>
      <c r="C29" s="77" t="n">
        <f aca="false">SUMPRODUCT(('📝 Registro'!C5:C104=B3)*('📝 Registro'!D5:D104='👷 Trabajadores'!B5)*('📝 Registro'!E5:E104=A29)*('📝 Registro'!G5:G104))</f>
        <v>0</v>
      </c>
      <c r="D29" s="77" t="n">
        <f aca="false">SUMPRODUCT(('📝 Registro'!C5:C104=B3)*('📝 Registro'!D5:D104='👷 Trabajadores'!B6)*('📝 Registro'!E5:E104=A29)*('📝 Registro'!G5:G104))</f>
        <v>0</v>
      </c>
      <c r="E29" s="77" t="n">
        <f aca="false">SUMPRODUCT(('📝 Registro'!C5:C104=B3)*('📝 Registro'!D5:D104='👷 Trabajadores'!B7)*('📝 Registro'!E5:E104=A29)*('📝 Registro'!G5:G104))</f>
        <v>0</v>
      </c>
      <c r="F29" s="77" t="n">
        <f aca="false">SUMPRODUCT(('📝 Registro'!C5:C104=B3)*('📝 Registro'!D5:D104='👷 Trabajadores'!B8)*('📝 Registro'!E5:E104=A29)*('📝 Registro'!G5:G104))</f>
        <v>0</v>
      </c>
      <c r="G29" s="77" t="n">
        <f aca="false">SUMPRODUCT(('📝 Registro'!C5:C104=B3)*('📝 Registro'!D5:D104='👷 Trabajadores'!B9)*('📝 Registro'!E5:E104=A29)*('📝 Registro'!G5:G104))</f>
        <v>0</v>
      </c>
      <c r="H29" s="77" t="n">
        <f aca="false">SUMPRODUCT(('📝 Registro'!C5:C104=B3)*('📝 Registro'!D5:D104='👷 Trabajadores'!B10)*('📝 Registro'!E5:E104=A29)*('📝 Registro'!G5:G104))</f>
        <v>0</v>
      </c>
      <c r="I29" s="77" t="n">
        <f aca="false">SUMPRODUCT(('📝 Registro'!C5:C104=B3)*('📝 Registro'!D5:D104='👷 Trabajadores'!B11)*('📝 Registro'!E5:E104=A29)*('📝 Registro'!G5:G104))</f>
        <v>0</v>
      </c>
      <c r="J29" s="77" t="n">
        <f aca="false">SUMPRODUCT(('📝 Registro'!C5:C104=B3)*('📝 Registro'!D5:D104='👷 Trabajadores'!B12)*('📝 Registro'!E5:E104=A29)*('📝 Registro'!G5:G104))</f>
        <v>0</v>
      </c>
      <c r="K29" s="77" t="n">
        <f aca="false">SUMPRODUCT(('📝 Registro'!C5:C104=B3)*('📝 Registro'!D5:D104='👷 Trabajadores'!B13)*('📝 Registro'!E5:E104=A29)*('📝 Registro'!G5:G104))</f>
        <v>0</v>
      </c>
      <c r="L29" s="77" t="n">
        <f aca="false">SUMPRODUCT(('📝 Registro'!C5:C104=B3)*('📝 Registro'!D5:D104='👷 Trabajadores'!B14)*('📝 Registro'!E5:E104=A29)*('📝 Registro'!G5:G104))</f>
        <v>0</v>
      </c>
      <c r="M29" s="63" t="n">
        <f aca="false">SUM(C29:L29)</f>
        <v>0</v>
      </c>
      <c r="N29" s="3"/>
      <c r="O29" s="3"/>
      <c r="P29" s="9"/>
      <c r="Q29" s="9"/>
      <c r="R29" s="9"/>
      <c r="S29" s="9"/>
      <c r="T29" s="9"/>
      <c r="U29" s="9"/>
      <c r="V29" s="9"/>
      <c r="W29" s="9"/>
      <c r="X29" s="3"/>
      <c r="Y29" s="3"/>
      <c r="Z29" s="74"/>
      <c r="AA29" s="74"/>
      <c r="AB29" s="74"/>
      <c r="AC29" s="74"/>
      <c r="AD29" s="75"/>
    </row>
    <row r="30" customFormat="false" ht="19.5" hidden="false" customHeight="true" outlineLevel="0" collapsed="false">
      <c r="A30" s="22" t="str">
        <f aca="false">IFERROR(INDEX('📋 Catálogo EPP'!$B$5:$B$24,9),"")</f>
        <v>Botas de Seguridad</v>
      </c>
      <c r="B30" s="78" t="str">
        <f aca="false">IFERROR(INDEX('📋 Catálogo EPP'!$C$5:$C$24,9),"")</f>
        <v>Pies</v>
      </c>
      <c r="C30" s="79" t="n">
        <f aca="false">SUMPRODUCT(('📝 Registro'!C5:C104=B3)*('📝 Registro'!D5:D104='👷 Trabajadores'!B5)*('📝 Registro'!E5:E104=A30)*('📝 Registro'!G5:G104))</f>
        <v>0</v>
      </c>
      <c r="D30" s="79" t="n">
        <f aca="false">SUMPRODUCT(('📝 Registro'!C5:C104=B3)*('📝 Registro'!D5:D104='👷 Trabajadores'!B6)*('📝 Registro'!E5:E104=A30)*('📝 Registro'!G5:G104))</f>
        <v>0</v>
      </c>
      <c r="E30" s="79" t="n">
        <f aca="false">SUMPRODUCT(('📝 Registro'!C5:C104=B3)*('📝 Registro'!D5:D104='👷 Trabajadores'!B7)*('📝 Registro'!E5:E104=A30)*('📝 Registro'!G5:G104))</f>
        <v>0</v>
      </c>
      <c r="F30" s="79" t="n">
        <f aca="false">SUMPRODUCT(('📝 Registro'!C5:C104=B3)*('📝 Registro'!D5:D104='👷 Trabajadores'!B8)*('📝 Registro'!E5:E104=A30)*('📝 Registro'!G5:G104))</f>
        <v>0</v>
      </c>
      <c r="G30" s="79" t="n">
        <f aca="false">SUMPRODUCT(('📝 Registro'!C5:C104=B3)*('📝 Registro'!D5:D104='👷 Trabajadores'!B9)*('📝 Registro'!E5:E104=A30)*('📝 Registro'!G5:G104))</f>
        <v>0</v>
      </c>
      <c r="H30" s="79" t="n">
        <f aca="false">SUMPRODUCT(('📝 Registro'!C5:C104=B3)*('📝 Registro'!D5:D104='👷 Trabajadores'!B10)*('📝 Registro'!E5:E104=A30)*('📝 Registro'!G5:G104))</f>
        <v>0</v>
      </c>
      <c r="I30" s="79" t="n">
        <f aca="false">SUMPRODUCT(('📝 Registro'!C5:C104=B3)*('📝 Registro'!D5:D104='👷 Trabajadores'!B11)*('📝 Registro'!E5:E104=A30)*('📝 Registro'!G5:G104))</f>
        <v>0</v>
      </c>
      <c r="J30" s="79" t="n">
        <f aca="false">SUMPRODUCT(('📝 Registro'!C5:C104=B3)*('📝 Registro'!D5:D104='👷 Trabajadores'!B12)*('📝 Registro'!E5:E104=A30)*('📝 Registro'!G5:G104))</f>
        <v>0</v>
      </c>
      <c r="K30" s="79" t="n">
        <f aca="false">SUMPRODUCT(('📝 Registro'!C5:C104=B3)*('📝 Registro'!D5:D104='👷 Trabajadores'!B13)*('📝 Registro'!E5:E104=A30)*('📝 Registro'!G5:G104))</f>
        <v>0</v>
      </c>
      <c r="L30" s="79" t="n">
        <f aca="false">SUMPRODUCT(('📝 Registro'!C5:C104=B3)*('📝 Registro'!D5:D104='👷 Trabajadores'!B14)*('📝 Registro'!E5:E104=A30)*('📝 Registro'!G5:G104))</f>
        <v>0</v>
      </c>
      <c r="M30" s="58" t="n">
        <f aca="false">SUM(C30:L30)</f>
        <v>0</v>
      </c>
      <c r="N30" s="3"/>
      <c r="O30" s="9"/>
      <c r="P30" s="9"/>
      <c r="Q30" s="9"/>
      <c r="R30" s="9"/>
      <c r="S30" s="9"/>
      <c r="T30" s="9"/>
      <c r="U30" s="9"/>
      <c r="V30" s="9"/>
      <c r="W30" s="9"/>
      <c r="X30" s="9"/>
      <c r="Y30" s="3"/>
      <c r="Z30" s="74"/>
      <c r="AA30" s="74"/>
      <c r="AB30" s="74"/>
      <c r="AC30" s="74"/>
      <c r="AD30" s="75"/>
    </row>
    <row r="31" customFormat="false" ht="19.5" hidden="false" customHeight="true" outlineLevel="0" collapsed="false">
      <c r="A31" s="33" t="str">
        <f aca="false">IFERROR(INDEX('📋 Catálogo EPP'!$B$5:$B$24,10),"")</f>
        <v>Arnes de Seguridad</v>
      </c>
      <c r="B31" s="70" t="str">
        <f aca="false">IFERROR(INDEX('📋 Catálogo EPP'!$C$5:$C$24,10),"")</f>
        <v>Torso</v>
      </c>
      <c r="C31" s="71" t="n">
        <f aca="false">SUMPRODUCT(('📝 Registro'!C5:C104=B3)*('📝 Registro'!D5:D104='👷 Trabajadores'!B5)*('📝 Registro'!E5:E104=A31)*('📝 Registro'!G5:G104))</f>
        <v>0</v>
      </c>
      <c r="D31" s="71" t="n">
        <f aca="false">SUMPRODUCT(('📝 Registro'!C5:C104=B3)*('📝 Registro'!D5:D104='👷 Trabajadores'!B6)*('📝 Registro'!E5:E104=A31)*('📝 Registro'!G5:G104))</f>
        <v>0</v>
      </c>
      <c r="E31" s="71" t="n">
        <f aca="false">SUMPRODUCT(('📝 Registro'!C5:C104=B3)*('📝 Registro'!D5:D104='👷 Trabajadores'!B7)*('📝 Registro'!E5:E104=A31)*('📝 Registro'!G5:G104))</f>
        <v>0</v>
      </c>
      <c r="F31" s="71" t="n">
        <f aca="false">SUMPRODUCT(('📝 Registro'!C5:C104=B3)*('📝 Registro'!D5:D104='👷 Trabajadores'!B8)*('📝 Registro'!E5:E104=A31)*('📝 Registro'!G5:G104))</f>
        <v>0</v>
      </c>
      <c r="G31" s="71" t="n">
        <f aca="false">SUMPRODUCT(('📝 Registro'!C5:C104=B3)*('📝 Registro'!D5:D104='👷 Trabajadores'!B9)*('📝 Registro'!E5:E104=A31)*('📝 Registro'!G5:G104))</f>
        <v>0</v>
      </c>
      <c r="H31" s="71" t="n">
        <f aca="false">SUMPRODUCT(('📝 Registro'!C5:C104=B3)*('📝 Registro'!D5:D104='👷 Trabajadores'!B10)*('📝 Registro'!E5:E104=A31)*('📝 Registro'!G5:G104))</f>
        <v>0</v>
      </c>
      <c r="I31" s="71" t="n">
        <f aca="false">SUMPRODUCT(('📝 Registro'!C5:C104=B3)*('📝 Registro'!D5:D104='👷 Trabajadores'!B11)*('📝 Registro'!E5:E104=A31)*('📝 Registro'!G5:G104))</f>
        <v>0</v>
      </c>
      <c r="J31" s="71" t="n">
        <f aca="false">SUMPRODUCT(('📝 Registro'!C5:C104=B3)*('📝 Registro'!D5:D104='👷 Trabajadores'!B12)*('📝 Registro'!E5:E104=A31)*('📝 Registro'!G5:G104))</f>
        <v>0</v>
      </c>
      <c r="K31" s="71" t="n">
        <f aca="false">SUMPRODUCT(('📝 Registro'!C5:C104=B3)*('📝 Registro'!D5:D104='👷 Trabajadores'!B13)*('📝 Registro'!E5:E104=A31)*('📝 Registro'!G5:G104))</f>
        <v>0</v>
      </c>
      <c r="L31" s="71" t="n">
        <f aca="false">SUMPRODUCT(('📝 Registro'!C5:C104=B3)*('📝 Registro'!D5:D104='👷 Trabajadores'!B14)*('📝 Registro'!E5:E104=A31)*('📝 Registro'!G5:G104))</f>
        <v>0</v>
      </c>
      <c r="M31" s="63" t="n">
        <f aca="false">SUM(C31:L31)</f>
        <v>0</v>
      </c>
      <c r="N31" s="3"/>
      <c r="O31" s="9"/>
      <c r="P31" s="9"/>
      <c r="Q31" s="9"/>
      <c r="R31" s="9"/>
      <c r="S31" s="9"/>
      <c r="T31" s="9"/>
      <c r="U31" s="9"/>
      <c r="V31" s="9"/>
      <c r="W31" s="9"/>
      <c r="X31" s="9"/>
      <c r="Y31" s="3"/>
      <c r="Z31" s="3"/>
      <c r="AA31" s="3"/>
      <c r="AB31" s="3"/>
      <c r="AC31" s="3"/>
      <c r="AD31" s="3"/>
    </row>
    <row r="32" customFormat="false" ht="19.5" hidden="false" customHeight="true" outlineLevel="0" collapsed="false">
      <c r="A32" s="22" t="str">
        <f aca="false">IFERROR(INDEX('📋 Catálogo EPP'!$B$5:$B$24,11),"")</f>
        <v>Protector Facial</v>
      </c>
      <c r="B32" s="80" t="str">
        <f aca="false">IFERROR(INDEX('📋 Catálogo EPP'!$C$5:$C$24,11),"")</f>
        <v>Ojos</v>
      </c>
      <c r="C32" s="81" t="n">
        <f aca="false">SUMPRODUCT(('📝 Registro'!C5:C104=B3)*('📝 Registro'!D5:D104='👷 Trabajadores'!B5)*('📝 Registro'!E5:E104=A32)*('📝 Registro'!G5:G104))</f>
        <v>0</v>
      </c>
      <c r="D32" s="81" t="n">
        <f aca="false">SUMPRODUCT(('📝 Registro'!C5:C104=B3)*('📝 Registro'!D5:D104='👷 Trabajadores'!B6)*('📝 Registro'!E5:E104=A32)*('📝 Registro'!G5:G104))</f>
        <v>0</v>
      </c>
      <c r="E32" s="81" t="n">
        <f aca="false">SUMPRODUCT(('📝 Registro'!C5:C104=B3)*('📝 Registro'!D5:D104='👷 Trabajadores'!B7)*('📝 Registro'!E5:E104=A32)*('📝 Registro'!G5:G104))</f>
        <v>0</v>
      </c>
      <c r="F32" s="81" t="n">
        <f aca="false">SUMPRODUCT(('📝 Registro'!C5:C104=B3)*('📝 Registro'!D5:D104='👷 Trabajadores'!B8)*('📝 Registro'!E5:E104=A32)*('📝 Registro'!G5:G104))</f>
        <v>0</v>
      </c>
      <c r="G32" s="81" t="n">
        <f aca="false">SUMPRODUCT(('📝 Registro'!C5:C104=B3)*('📝 Registro'!D5:D104='👷 Trabajadores'!B9)*('📝 Registro'!E5:E104=A32)*('📝 Registro'!G5:G104))</f>
        <v>0</v>
      </c>
      <c r="H32" s="81" t="n">
        <f aca="false">SUMPRODUCT(('📝 Registro'!C5:C104=B3)*('📝 Registro'!D5:D104='👷 Trabajadores'!B10)*('📝 Registro'!E5:E104=A32)*('📝 Registro'!G5:G104))</f>
        <v>0</v>
      </c>
      <c r="I32" s="81" t="n">
        <f aca="false">SUMPRODUCT(('📝 Registro'!C5:C104=B3)*('📝 Registro'!D5:D104='👷 Trabajadores'!B11)*('📝 Registro'!E5:E104=A32)*('📝 Registro'!G5:G104))</f>
        <v>0</v>
      </c>
      <c r="J32" s="81" t="n">
        <f aca="false">SUMPRODUCT(('📝 Registro'!C5:C104=B3)*('📝 Registro'!D5:D104='👷 Trabajadores'!B12)*('📝 Registro'!E5:E104=A32)*('📝 Registro'!G5:G104))</f>
        <v>0</v>
      </c>
      <c r="K32" s="81" t="n">
        <f aca="false">SUMPRODUCT(('📝 Registro'!C5:C104=B3)*('📝 Registro'!D5:D104='👷 Trabajadores'!B13)*('📝 Registro'!E5:E104=A32)*('📝 Registro'!G5:G104))</f>
        <v>0</v>
      </c>
      <c r="L32" s="81" t="n">
        <f aca="false">SUMPRODUCT(('📝 Registro'!C5:C104=B3)*('📝 Registro'!D5:D104='👷 Trabajadores'!B14)*('📝 Registro'!E5:E104=A32)*('📝 Registro'!G5:G104))</f>
        <v>0</v>
      </c>
      <c r="M32" s="58" t="n">
        <f aca="false">SUM(C32:L32)</f>
        <v>0</v>
      </c>
      <c r="N32" s="3"/>
      <c r="O32" s="9"/>
      <c r="P32" s="9"/>
      <c r="Q32" s="9"/>
      <c r="R32" s="9"/>
      <c r="S32" s="9"/>
      <c r="T32" s="9"/>
      <c r="U32" s="9"/>
      <c r="V32" s="9"/>
      <c r="W32" s="9"/>
      <c r="X32" s="9"/>
      <c r="Y32" s="3"/>
      <c r="Z32" s="3"/>
      <c r="AA32" s="3"/>
      <c r="AB32" s="3"/>
      <c r="AC32" s="3"/>
      <c r="AD32" s="3"/>
    </row>
    <row r="33" customFormat="false" ht="19.5" hidden="false" customHeight="true" outlineLevel="0" collapsed="false">
      <c r="A33" s="33" t="str">
        <f aca="false">IFERROR(INDEX('📋 Catálogo EPP'!$B$5:$B$24,12),"")</f>
        <v>Impermeable / Lluvia</v>
      </c>
      <c r="B33" s="70" t="str">
        <f aca="false">IFERROR(INDEX('📋 Catálogo EPP'!$C$5:$C$24,12),"")</f>
        <v>Torso</v>
      </c>
      <c r="C33" s="71" t="n">
        <f aca="false">SUMPRODUCT(('📝 Registro'!C5:C104=B3)*('📝 Registro'!D5:D104='👷 Trabajadores'!B5)*('📝 Registro'!E5:E104=A33)*('📝 Registro'!G5:G104))</f>
        <v>0</v>
      </c>
      <c r="D33" s="71" t="n">
        <f aca="false">SUMPRODUCT(('📝 Registro'!C5:C104=B3)*('📝 Registro'!D5:D104='👷 Trabajadores'!B6)*('📝 Registro'!E5:E104=A33)*('📝 Registro'!G5:G104))</f>
        <v>0</v>
      </c>
      <c r="E33" s="71" t="n">
        <f aca="false">SUMPRODUCT(('📝 Registro'!C5:C104=B3)*('📝 Registro'!D5:D104='👷 Trabajadores'!B7)*('📝 Registro'!E5:E104=A33)*('📝 Registro'!G5:G104))</f>
        <v>0</v>
      </c>
      <c r="F33" s="71" t="n">
        <f aca="false">SUMPRODUCT(('📝 Registro'!C5:C104=B3)*('📝 Registro'!D5:D104='👷 Trabajadores'!B8)*('📝 Registro'!E5:E104=A33)*('📝 Registro'!G5:G104))</f>
        <v>0</v>
      </c>
      <c r="G33" s="71" t="n">
        <f aca="false">SUMPRODUCT(('📝 Registro'!C5:C104=B3)*('📝 Registro'!D5:D104='👷 Trabajadores'!B9)*('📝 Registro'!E5:E104=A33)*('📝 Registro'!G5:G104))</f>
        <v>0</v>
      </c>
      <c r="H33" s="71" t="n">
        <f aca="false">SUMPRODUCT(('📝 Registro'!C5:C104=B3)*('📝 Registro'!D5:D104='👷 Trabajadores'!B10)*('📝 Registro'!E5:E104=A33)*('📝 Registro'!G5:G104))</f>
        <v>0</v>
      </c>
      <c r="I33" s="71" t="n">
        <f aca="false">SUMPRODUCT(('📝 Registro'!C5:C104=B3)*('📝 Registro'!D5:D104='👷 Trabajadores'!B11)*('📝 Registro'!E5:E104=A33)*('📝 Registro'!G5:G104))</f>
        <v>0</v>
      </c>
      <c r="J33" s="71" t="n">
        <f aca="false">SUMPRODUCT(('📝 Registro'!C5:C104=B3)*('📝 Registro'!D5:D104='👷 Trabajadores'!B12)*('📝 Registro'!E5:E104=A33)*('📝 Registro'!G5:G104))</f>
        <v>0</v>
      </c>
      <c r="K33" s="71" t="n">
        <f aca="false">SUMPRODUCT(('📝 Registro'!C5:C104=B3)*('📝 Registro'!D5:D104='👷 Trabajadores'!B13)*('📝 Registro'!E5:E104=A33)*('📝 Registro'!G5:G104))</f>
        <v>0</v>
      </c>
      <c r="L33" s="71" t="n">
        <f aca="false">SUMPRODUCT(('📝 Registro'!C5:C104=B3)*('📝 Registro'!D5:D104='👷 Trabajadores'!B14)*('📝 Registro'!E5:E104=A33)*('📝 Registro'!G5:G104))</f>
        <v>0</v>
      </c>
      <c r="M33" s="63" t="n">
        <f aca="false">SUM(C33:L33)</f>
        <v>0</v>
      </c>
      <c r="N33" s="3"/>
      <c r="O33" s="9"/>
      <c r="P33" s="9"/>
      <c r="Q33" s="9"/>
      <c r="R33" s="9"/>
      <c r="S33" s="9"/>
      <c r="T33" s="9"/>
      <c r="U33" s="9"/>
      <c r="V33" s="9"/>
      <c r="W33" s="9"/>
      <c r="X33" s="9"/>
      <c r="Y33" s="3"/>
      <c r="Z33" s="3"/>
      <c r="AA33" s="3"/>
      <c r="AB33" s="3"/>
      <c r="AC33" s="3"/>
      <c r="AD33" s="3"/>
    </row>
    <row r="34" customFormat="false" ht="25.5" hidden="false" customHeight="true" outlineLevel="0" collapsed="false">
      <c r="A34" s="82" t="s">
        <v>18</v>
      </c>
      <c r="B34" s="83"/>
      <c r="C34" s="84" t="n">
        <f aca="false">SUM(C22:C33)</f>
        <v>0</v>
      </c>
      <c r="D34" s="84" t="n">
        <f aca="false">SUM(D22:D33)</f>
        <v>0</v>
      </c>
      <c r="E34" s="84" t="n">
        <f aca="false">SUM(E22:E33)</f>
        <v>0</v>
      </c>
      <c r="F34" s="84" t="n">
        <f aca="false">SUM(F22:F33)</f>
        <v>0</v>
      </c>
      <c r="G34" s="84" t="n">
        <f aca="false">SUM(G22:G33)</f>
        <v>0</v>
      </c>
      <c r="H34" s="84" t="n">
        <f aca="false">SUM(H22:H33)</f>
        <v>0</v>
      </c>
      <c r="I34" s="84" t="n">
        <f aca="false">SUM(I22:I33)</f>
        <v>0</v>
      </c>
      <c r="J34" s="84" t="n">
        <f aca="false">SUM(J22:J33)</f>
        <v>0</v>
      </c>
      <c r="K34" s="84" t="n">
        <f aca="false">SUM(K22:K33)</f>
        <v>0</v>
      </c>
      <c r="L34" s="84" t="n">
        <f aca="false">SUM(L22:L33)</f>
        <v>0</v>
      </c>
      <c r="M34" s="84" t="n">
        <f aca="false">SUM(M22:M33)</f>
        <v>0</v>
      </c>
      <c r="N34" s="3"/>
      <c r="O34" s="9"/>
      <c r="P34" s="9"/>
      <c r="Q34" s="9"/>
      <c r="R34" s="9"/>
      <c r="S34" s="9"/>
      <c r="T34" s="9"/>
      <c r="U34" s="9"/>
      <c r="V34" s="9"/>
      <c r="W34" s="9"/>
      <c r="X34" s="9"/>
      <c r="Y34" s="3"/>
      <c r="Z34" s="3"/>
      <c r="AA34" s="3"/>
      <c r="AB34" s="3"/>
      <c r="AC34" s="3"/>
      <c r="AD34" s="3"/>
    </row>
    <row r="35" customFormat="false" ht="9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9"/>
      <c r="P35" s="9"/>
      <c r="Q35" s="9"/>
      <c r="R35" s="9"/>
      <c r="S35" s="9"/>
      <c r="T35" s="9"/>
      <c r="U35" s="9"/>
      <c r="V35" s="9"/>
      <c r="W35" s="9"/>
      <c r="X35" s="9"/>
      <c r="Y35" s="3"/>
      <c r="Z35" s="85" t="s">
        <v>25</v>
      </c>
      <c r="AA35" s="85"/>
      <c r="AB35" s="85"/>
      <c r="AC35" s="85"/>
      <c r="AD35" s="86" t="n">
        <f aca="false">SUMPRODUCT(('📝 Registro'!C5:C104=B3)*('📝 Registro'!F5:F104="Piernas")*('📝 Registro'!G5:G104))</f>
        <v>0</v>
      </c>
    </row>
    <row r="36" customFormat="false" ht="9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9"/>
      <c r="P36" s="9"/>
      <c r="Q36" s="9"/>
      <c r="R36" s="9"/>
      <c r="S36" s="9"/>
      <c r="T36" s="9"/>
      <c r="U36" s="9"/>
      <c r="V36" s="9"/>
      <c r="W36" s="9"/>
      <c r="X36" s="9"/>
      <c r="Y36" s="3"/>
      <c r="Z36" s="85"/>
      <c r="AA36" s="85"/>
      <c r="AB36" s="85"/>
      <c r="AC36" s="85"/>
      <c r="AD36" s="86"/>
    </row>
    <row r="37" customFormat="false" ht="9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9"/>
      <c r="P37" s="9"/>
      <c r="Q37" s="9"/>
      <c r="R37" s="9"/>
      <c r="S37" s="9"/>
      <c r="T37" s="9"/>
      <c r="U37" s="9"/>
      <c r="V37" s="9"/>
      <c r="W37" s="9"/>
      <c r="X37" s="9"/>
      <c r="Y37" s="3"/>
      <c r="Z37" s="85"/>
      <c r="AA37" s="85"/>
      <c r="AB37" s="85"/>
      <c r="AC37" s="85"/>
      <c r="AD37" s="86"/>
    </row>
    <row r="38" customFormat="false" ht="9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9"/>
      <c r="R38" s="9"/>
      <c r="S38" s="9"/>
      <c r="T38" s="9"/>
      <c r="U38" s="9"/>
      <c r="V38" s="9"/>
      <c r="W38" s="3"/>
      <c r="X38" s="3"/>
      <c r="Y38" s="3"/>
      <c r="Z38" s="3"/>
      <c r="AA38" s="3"/>
      <c r="AB38" s="3"/>
      <c r="AC38" s="3"/>
      <c r="AD38" s="3"/>
    </row>
    <row r="39" customFormat="false" ht="9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"/>
      <c r="R39" s="9"/>
      <c r="S39" s="9"/>
      <c r="T39" s="9"/>
      <c r="U39" s="9"/>
      <c r="V39" s="9"/>
      <c r="W39" s="3"/>
      <c r="X39" s="3"/>
      <c r="Y39" s="3"/>
      <c r="Z39" s="3"/>
      <c r="AA39" s="3"/>
      <c r="AB39" s="3"/>
      <c r="AC39" s="3"/>
      <c r="AD39" s="3"/>
    </row>
    <row r="40" customFormat="false" ht="9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9"/>
      <c r="S40" s="9"/>
      <c r="T40" s="9"/>
      <c r="U40" s="9"/>
      <c r="V40" s="9"/>
      <c r="W40" s="3"/>
      <c r="X40" s="3"/>
      <c r="Y40" s="3"/>
      <c r="Z40" s="3"/>
      <c r="AA40" s="3"/>
      <c r="AB40" s="3"/>
      <c r="AC40" s="3"/>
      <c r="AD40" s="3"/>
    </row>
    <row r="41" customFormat="false" ht="9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9"/>
      <c r="R41" s="9"/>
      <c r="S41" s="9"/>
      <c r="T41" s="9"/>
      <c r="U41" s="9"/>
      <c r="V41" s="9"/>
      <c r="W41" s="3"/>
      <c r="X41" s="3"/>
      <c r="Y41" s="3"/>
      <c r="Z41" s="3"/>
      <c r="AA41" s="3"/>
      <c r="AB41" s="3"/>
      <c r="AC41" s="3"/>
      <c r="AD41" s="3"/>
    </row>
    <row r="42" customFormat="false" ht="9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9"/>
      <c r="R42" s="9"/>
      <c r="S42" s="9"/>
      <c r="T42" s="9"/>
      <c r="U42" s="9"/>
      <c r="V42" s="9"/>
      <c r="W42" s="3"/>
      <c r="X42" s="3"/>
      <c r="Y42" s="3"/>
      <c r="Z42" s="3"/>
      <c r="AA42" s="3"/>
      <c r="AB42" s="3"/>
      <c r="AC42" s="3"/>
      <c r="AD42" s="3"/>
    </row>
    <row r="43" customFormat="false" ht="9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9"/>
      <c r="R43" s="9"/>
      <c r="S43" s="9"/>
      <c r="T43" s="9"/>
      <c r="U43" s="9"/>
      <c r="V43" s="9"/>
      <c r="W43" s="3"/>
      <c r="X43" s="3"/>
      <c r="Y43" s="3"/>
      <c r="Z43" s="3"/>
      <c r="AA43" s="3"/>
      <c r="AB43" s="3"/>
      <c r="AC43" s="3"/>
      <c r="AD43" s="3"/>
    </row>
    <row r="44" customFormat="false" ht="9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9"/>
      <c r="R44" s="9"/>
      <c r="S44" s="9"/>
      <c r="T44" s="9"/>
      <c r="U44" s="9"/>
      <c r="V44" s="9"/>
      <c r="W44" s="3"/>
      <c r="X44" s="3"/>
      <c r="Y44" s="3"/>
      <c r="Z44" s="87" t="s">
        <v>26</v>
      </c>
      <c r="AA44" s="87"/>
      <c r="AB44" s="87"/>
      <c r="AC44" s="87"/>
      <c r="AD44" s="88" t="n">
        <f aca="false">SUMPRODUCT(('📝 Registro'!C5:C104=B3)*('📝 Registro'!F5:F104="Pies")*('📝 Registro'!G5:G104))</f>
        <v>0</v>
      </c>
    </row>
    <row r="45" customFormat="false" ht="9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9"/>
      <c r="R45" s="9"/>
      <c r="S45" s="9"/>
      <c r="T45" s="9"/>
      <c r="U45" s="9"/>
      <c r="V45" s="9"/>
      <c r="W45" s="3"/>
      <c r="X45" s="3"/>
      <c r="Y45" s="3"/>
      <c r="Z45" s="87"/>
      <c r="AA45" s="87"/>
      <c r="AB45" s="87"/>
      <c r="AC45" s="87"/>
      <c r="AD45" s="88"/>
    </row>
    <row r="46" customFormat="false" ht="9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9"/>
      <c r="R46" s="9"/>
      <c r="S46" s="9"/>
      <c r="T46" s="9"/>
      <c r="U46" s="9"/>
      <c r="V46" s="9"/>
      <c r="W46" s="3"/>
      <c r="X46" s="3"/>
      <c r="Y46" s="3"/>
      <c r="Z46" s="87"/>
      <c r="AA46" s="87"/>
      <c r="AB46" s="87"/>
      <c r="AC46" s="87"/>
      <c r="AD46" s="88"/>
    </row>
    <row r="47" customFormat="false" ht="9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9"/>
      <c r="R47" s="9"/>
      <c r="S47" s="9"/>
      <c r="T47" s="9"/>
      <c r="U47" s="9"/>
      <c r="V47" s="9"/>
      <c r="W47" s="3"/>
      <c r="X47" s="3"/>
      <c r="Y47" s="3"/>
      <c r="Z47" s="3"/>
      <c r="AA47" s="3"/>
      <c r="AB47" s="3"/>
      <c r="AC47" s="3"/>
      <c r="AD47" s="3"/>
    </row>
    <row r="48" customFormat="false" ht="9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9"/>
      <c r="R48" s="9"/>
      <c r="S48" s="9"/>
      <c r="T48" s="9"/>
      <c r="U48" s="9"/>
      <c r="V48" s="9"/>
      <c r="W48" s="3"/>
      <c r="X48" s="3"/>
      <c r="Y48" s="3"/>
      <c r="Z48" s="3"/>
      <c r="AA48" s="3"/>
      <c r="AB48" s="3"/>
      <c r="AC48" s="3"/>
      <c r="AD48" s="3"/>
    </row>
    <row r="49" customFormat="false" ht="9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9"/>
      <c r="R49" s="9"/>
      <c r="S49" s="9"/>
      <c r="T49" s="9"/>
      <c r="U49" s="9"/>
      <c r="V49" s="9"/>
      <c r="W49" s="3"/>
      <c r="X49" s="3"/>
      <c r="Y49" s="3"/>
      <c r="Z49" s="3"/>
      <c r="AA49" s="3"/>
      <c r="AB49" s="3"/>
      <c r="AC49" s="3"/>
      <c r="AD49" s="3"/>
    </row>
    <row r="50" customFormat="false" ht="9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9"/>
      <c r="R50" s="9"/>
      <c r="S50" s="9"/>
      <c r="T50" s="9"/>
      <c r="U50" s="9"/>
      <c r="V50" s="9"/>
      <c r="W50" s="3"/>
      <c r="X50" s="3"/>
      <c r="Y50" s="3"/>
      <c r="Z50" s="3"/>
      <c r="AA50" s="3"/>
      <c r="AB50" s="3"/>
      <c r="AC50" s="3"/>
      <c r="AD50" s="3"/>
    </row>
    <row r="51" customFormat="false" ht="9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9"/>
      <c r="R51" s="9"/>
      <c r="S51" s="9"/>
      <c r="T51" s="9"/>
      <c r="U51" s="9"/>
      <c r="V51" s="9"/>
      <c r="W51" s="3"/>
      <c r="X51" s="3"/>
      <c r="Y51" s="3"/>
      <c r="Z51" s="3"/>
      <c r="AA51" s="3"/>
      <c r="AB51" s="3"/>
      <c r="AC51" s="3"/>
      <c r="AD51" s="3"/>
    </row>
    <row r="52" customFormat="false" ht="9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customFormat="false" ht="9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customFormat="false" ht="9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</sheetData>
  <mergeCells count="20">
    <mergeCell ref="A1:T1"/>
    <mergeCell ref="Z3:AD3"/>
    <mergeCell ref="A5:N5"/>
    <mergeCell ref="Z6:AC8"/>
    <mergeCell ref="AD6:AD8"/>
    <mergeCell ref="Z10:AC12"/>
    <mergeCell ref="AD10:AD12"/>
    <mergeCell ref="Z14:AC16"/>
    <mergeCell ref="AD14:AD16"/>
    <mergeCell ref="Z18:AC20"/>
    <mergeCell ref="AD18:AD20"/>
    <mergeCell ref="A20:N20"/>
    <mergeCell ref="Z22:AC24"/>
    <mergeCell ref="AD22:AD24"/>
    <mergeCell ref="Z28:AC30"/>
    <mergeCell ref="AD28:AD30"/>
    <mergeCell ref="Z35:AC37"/>
    <mergeCell ref="AD35:AD37"/>
    <mergeCell ref="Z44:AC46"/>
    <mergeCell ref="AD44:A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5" min="4" style="1" width="14"/>
    <col collapsed="false" customWidth="true" hidden="false" outlineLevel="0" max="6" min="6" style="1" width="28"/>
    <col collapsed="false" customWidth="true" hidden="false" outlineLevel="0" max="7" min="7" style="1" width="10"/>
  </cols>
  <sheetData>
    <row r="1" customFormat="false" ht="37.5" hidden="false" customHeight="true" outlineLevel="0" collapsed="false">
      <c r="A1" s="89" t="s">
        <v>27</v>
      </c>
      <c r="B1" s="89"/>
      <c r="C1" s="89"/>
      <c r="D1" s="89"/>
      <c r="E1" s="89"/>
      <c r="F1" s="89"/>
      <c r="G1" s="89"/>
      <c r="H1" s="3"/>
      <c r="I1" s="3"/>
      <c r="J1" s="3"/>
    </row>
    <row r="2" customFormat="false" ht="21.75" hidden="false" customHeight="true" outlineLevel="0" collapsed="false">
      <c r="A2" s="90" t="s">
        <v>28</v>
      </c>
      <c r="B2" s="90"/>
      <c r="C2" s="90"/>
      <c r="D2" s="90"/>
      <c r="E2" s="90"/>
      <c r="F2" s="90"/>
      <c r="G2" s="90"/>
      <c r="H2" s="3"/>
      <c r="I2" s="3"/>
      <c r="J2" s="3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7.75" hidden="false" customHeight="true" outlineLevel="0" collapsed="false">
      <c r="A4" s="91" t="s">
        <v>29</v>
      </c>
      <c r="B4" s="91" t="s">
        <v>30</v>
      </c>
      <c r="C4" s="91" t="s">
        <v>31</v>
      </c>
      <c r="D4" s="91" t="s">
        <v>32</v>
      </c>
      <c r="E4" s="91" t="s">
        <v>33</v>
      </c>
      <c r="F4" s="91" t="s">
        <v>34</v>
      </c>
      <c r="G4" s="91" t="s">
        <v>35</v>
      </c>
      <c r="H4" s="3"/>
      <c r="I4" s="3"/>
      <c r="J4" s="3"/>
    </row>
    <row r="5" customFormat="false" ht="21.75" hidden="false" customHeight="true" outlineLevel="0" collapsed="false">
      <c r="A5" s="92" t="n">
        <v>1</v>
      </c>
      <c r="B5" s="22" t="s">
        <v>36</v>
      </c>
      <c r="C5" s="93" t="s">
        <v>6</v>
      </c>
      <c r="D5" s="94" t="s">
        <v>37</v>
      </c>
      <c r="E5" s="92" t="s">
        <v>38</v>
      </c>
      <c r="F5" s="92"/>
      <c r="G5" s="95" t="s">
        <v>39</v>
      </c>
      <c r="H5" s="3"/>
      <c r="I5" s="3"/>
      <c r="J5" s="3"/>
    </row>
    <row r="6" customFormat="false" ht="21.75" hidden="false" customHeight="true" outlineLevel="0" collapsed="false">
      <c r="A6" s="96" t="n">
        <v>2</v>
      </c>
      <c r="B6" s="33" t="s">
        <v>40</v>
      </c>
      <c r="C6" s="97" t="s">
        <v>7</v>
      </c>
      <c r="D6" s="98" t="s">
        <v>41</v>
      </c>
      <c r="E6" s="96" t="s">
        <v>38</v>
      </c>
      <c r="F6" s="96"/>
      <c r="G6" s="99" t="s">
        <v>39</v>
      </c>
      <c r="H6" s="3"/>
      <c r="I6" s="3"/>
      <c r="J6" s="3"/>
    </row>
    <row r="7" customFormat="false" ht="21.75" hidden="false" customHeight="true" outlineLevel="0" collapsed="false">
      <c r="A7" s="92" t="n">
        <v>3</v>
      </c>
      <c r="B7" s="22" t="s">
        <v>42</v>
      </c>
      <c r="C7" s="100" t="s">
        <v>8</v>
      </c>
      <c r="D7" s="94" t="s">
        <v>43</v>
      </c>
      <c r="E7" s="92" t="s">
        <v>44</v>
      </c>
      <c r="F7" s="92"/>
      <c r="G7" s="95" t="s">
        <v>39</v>
      </c>
      <c r="H7" s="3"/>
      <c r="I7" s="3"/>
      <c r="J7" s="3"/>
    </row>
    <row r="8" customFormat="false" ht="21.75" hidden="false" customHeight="true" outlineLevel="0" collapsed="false">
      <c r="A8" s="96" t="n">
        <v>4</v>
      </c>
      <c r="B8" s="33" t="s">
        <v>45</v>
      </c>
      <c r="C8" s="101" t="s">
        <v>9</v>
      </c>
      <c r="D8" s="98" t="s">
        <v>46</v>
      </c>
      <c r="E8" s="96" t="s">
        <v>38</v>
      </c>
      <c r="F8" s="96"/>
      <c r="G8" s="99" t="s">
        <v>39</v>
      </c>
      <c r="H8" s="3"/>
      <c r="I8" s="3"/>
      <c r="J8" s="3"/>
    </row>
    <row r="9" customFormat="false" ht="21.75" hidden="false" customHeight="true" outlineLevel="0" collapsed="false">
      <c r="A9" s="92" t="n">
        <v>5</v>
      </c>
      <c r="B9" s="22" t="s">
        <v>47</v>
      </c>
      <c r="C9" s="102" t="s">
        <v>10</v>
      </c>
      <c r="D9" s="94" t="s">
        <v>48</v>
      </c>
      <c r="E9" s="92" t="s">
        <v>38</v>
      </c>
      <c r="F9" s="92"/>
      <c r="G9" s="95" t="s">
        <v>39</v>
      </c>
      <c r="H9" s="3"/>
      <c r="I9" s="3"/>
      <c r="J9" s="3"/>
    </row>
    <row r="10" customFormat="false" ht="21.75" hidden="false" customHeight="true" outlineLevel="0" collapsed="false">
      <c r="A10" s="96" t="n">
        <v>6</v>
      </c>
      <c r="B10" s="33" t="s">
        <v>49</v>
      </c>
      <c r="C10" s="103" t="s">
        <v>10</v>
      </c>
      <c r="D10" s="98" t="s">
        <v>50</v>
      </c>
      <c r="E10" s="96" t="s">
        <v>38</v>
      </c>
      <c r="F10" s="96"/>
      <c r="G10" s="99" t="s">
        <v>39</v>
      </c>
      <c r="H10" s="3"/>
      <c r="I10" s="3"/>
      <c r="J10" s="3"/>
    </row>
    <row r="11" customFormat="false" ht="21.75" hidden="false" customHeight="true" outlineLevel="0" collapsed="false">
      <c r="A11" s="92" t="n">
        <v>7</v>
      </c>
      <c r="B11" s="22" t="s">
        <v>51</v>
      </c>
      <c r="C11" s="104" t="s">
        <v>11</v>
      </c>
      <c r="D11" s="94" t="s">
        <v>52</v>
      </c>
      <c r="E11" s="92" t="s">
        <v>44</v>
      </c>
      <c r="F11" s="92"/>
      <c r="G11" s="95" t="s">
        <v>39</v>
      </c>
      <c r="H11" s="3"/>
      <c r="I11" s="3"/>
      <c r="J11" s="3"/>
    </row>
    <row r="12" customFormat="false" ht="21.75" hidden="false" customHeight="true" outlineLevel="0" collapsed="false">
      <c r="A12" s="96" t="n">
        <v>8</v>
      </c>
      <c r="B12" s="33" t="s">
        <v>53</v>
      </c>
      <c r="C12" s="105" t="s">
        <v>12</v>
      </c>
      <c r="D12" s="98" t="s">
        <v>54</v>
      </c>
      <c r="E12" s="96" t="s">
        <v>38</v>
      </c>
      <c r="F12" s="96"/>
      <c r="G12" s="99" t="s">
        <v>39</v>
      </c>
      <c r="H12" s="3"/>
      <c r="I12" s="3"/>
      <c r="J12" s="3"/>
    </row>
    <row r="13" customFormat="false" ht="21.75" hidden="false" customHeight="true" outlineLevel="0" collapsed="false">
      <c r="A13" s="92" t="n">
        <v>9</v>
      </c>
      <c r="B13" s="22" t="s">
        <v>55</v>
      </c>
      <c r="C13" s="106" t="s">
        <v>13</v>
      </c>
      <c r="D13" s="94" t="s">
        <v>56</v>
      </c>
      <c r="E13" s="92" t="s">
        <v>44</v>
      </c>
      <c r="F13" s="92"/>
      <c r="G13" s="95" t="s">
        <v>39</v>
      </c>
      <c r="H13" s="3"/>
      <c r="I13" s="3"/>
      <c r="J13" s="3"/>
    </row>
    <row r="14" customFormat="false" ht="21.75" hidden="false" customHeight="true" outlineLevel="0" collapsed="false">
      <c r="A14" s="96" t="n">
        <v>10</v>
      </c>
      <c r="B14" s="33" t="s">
        <v>57</v>
      </c>
      <c r="C14" s="103" t="s">
        <v>10</v>
      </c>
      <c r="D14" s="98" t="s">
        <v>58</v>
      </c>
      <c r="E14" s="96" t="s">
        <v>38</v>
      </c>
      <c r="F14" s="96"/>
      <c r="G14" s="99" t="s">
        <v>39</v>
      </c>
      <c r="H14" s="3"/>
      <c r="I14" s="3"/>
      <c r="J14" s="3"/>
    </row>
    <row r="15" customFormat="false" ht="21.75" hidden="false" customHeight="true" outlineLevel="0" collapsed="false">
      <c r="A15" s="92" t="n">
        <v>11</v>
      </c>
      <c r="B15" s="22" t="s">
        <v>59</v>
      </c>
      <c r="C15" s="107" t="s">
        <v>7</v>
      </c>
      <c r="D15" s="94" t="s">
        <v>60</v>
      </c>
      <c r="E15" s="92" t="s">
        <v>38</v>
      </c>
      <c r="F15" s="92"/>
      <c r="G15" s="95" t="s">
        <v>39</v>
      </c>
      <c r="H15" s="3"/>
      <c r="I15" s="3"/>
      <c r="J15" s="3"/>
    </row>
    <row r="16" customFormat="false" ht="21.75" hidden="false" customHeight="true" outlineLevel="0" collapsed="false">
      <c r="A16" s="96" t="n">
        <v>12</v>
      </c>
      <c r="B16" s="33" t="s">
        <v>61</v>
      </c>
      <c r="C16" s="103" t="s">
        <v>10</v>
      </c>
      <c r="D16" s="98" t="s">
        <v>62</v>
      </c>
      <c r="E16" s="96" t="s">
        <v>38</v>
      </c>
      <c r="F16" s="96"/>
      <c r="G16" s="99" t="s">
        <v>39</v>
      </c>
      <c r="H16" s="3"/>
      <c r="I16" s="3"/>
      <c r="J16" s="3"/>
    </row>
    <row r="17" customFormat="false" ht="21.75" hidden="false" customHeight="true" outlineLevel="0" collapsed="false">
      <c r="A17" s="92" t="n">
        <v>13</v>
      </c>
      <c r="B17" s="92"/>
      <c r="C17" s="92"/>
      <c r="D17" s="92"/>
      <c r="E17" s="92"/>
      <c r="F17" s="92"/>
      <c r="G17" s="92"/>
      <c r="H17" s="3"/>
      <c r="I17" s="3"/>
      <c r="J17" s="3"/>
    </row>
    <row r="18" customFormat="false" ht="21.75" hidden="false" customHeight="true" outlineLevel="0" collapsed="false">
      <c r="A18" s="96" t="n">
        <v>14</v>
      </c>
      <c r="B18" s="96"/>
      <c r="C18" s="96"/>
      <c r="D18" s="96"/>
      <c r="E18" s="96"/>
      <c r="F18" s="96"/>
      <c r="G18" s="96"/>
      <c r="H18" s="3"/>
      <c r="I18" s="3"/>
      <c r="J18" s="3"/>
    </row>
    <row r="19" customFormat="false" ht="21.75" hidden="false" customHeight="true" outlineLevel="0" collapsed="false">
      <c r="A19" s="92" t="n">
        <v>15</v>
      </c>
      <c r="B19" s="92"/>
      <c r="C19" s="92"/>
      <c r="D19" s="92"/>
      <c r="E19" s="92"/>
      <c r="F19" s="92"/>
      <c r="G19" s="92"/>
      <c r="H19" s="3"/>
      <c r="I19" s="3"/>
      <c r="J19" s="3"/>
    </row>
    <row r="20" customFormat="false" ht="21.75" hidden="false" customHeight="true" outlineLevel="0" collapsed="false">
      <c r="A20" s="96" t="n">
        <v>16</v>
      </c>
      <c r="B20" s="96"/>
      <c r="C20" s="96"/>
      <c r="D20" s="96"/>
      <c r="E20" s="96"/>
      <c r="F20" s="96"/>
      <c r="G20" s="96"/>
      <c r="H20" s="3"/>
      <c r="I20" s="3"/>
      <c r="J20" s="3"/>
    </row>
    <row r="21" customFormat="false" ht="21.75" hidden="false" customHeight="true" outlineLevel="0" collapsed="false">
      <c r="A21" s="92" t="n">
        <v>17</v>
      </c>
      <c r="B21" s="92"/>
      <c r="C21" s="92"/>
      <c r="D21" s="92"/>
      <c r="E21" s="92"/>
      <c r="F21" s="92"/>
      <c r="G21" s="92"/>
      <c r="H21" s="3"/>
      <c r="I21" s="3"/>
      <c r="J21" s="3"/>
    </row>
    <row r="22" customFormat="false" ht="21.75" hidden="false" customHeight="true" outlineLevel="0" collapsed="false">
      <c r="A22" s="96" t="n">
        <v>18</v>
      </c>
      <c r="B22" s="96"/>
      <c r="C22" s="96"/>
      <c r="D22" s="96"/>
      <c r="E22" s="96"/>
      <c r="F22" s="96"/>
      <c r="G22" s="96"/>
      <c r="H22" s="3"/>
      <c r="I22" s="3"/>
      <c r="J22" s="3"/>
    </row>
    <row r="23" customFormat="false" ht="21.75" hidden="false" customHeight="true" outlineLevel="0" collapsed="false">
      <c r="A23" s="92" t="n">
        <v>19</v>
      </c>
      <c r="B23" s="92"/>
      <c r="C23" s="92"/>
      <c r="D23" s="92"/>
      <c r="E23" s="92"/>
      <c r="F23" s="92"/>
      <c r="G23" s="92"/>
      <c r="H23" s="3"/>
      <c r="I23" s="3"/>
      <c r="J23" s="3"/>
    </row>
    <row r="24" customFormat="false" ht="21.75" hidden="false" customHeight="true" outlineLevel="0" collapsed="false">
      <c r="A24" s="96" t="n">
        <v>20</v>
      </c>
      <c r="B24" s="96"/>
      <c r="C24" s="96"/>
      <c r="D24" s="96"/>
      <c r="E24" s="96"/>
      <c r="F24" s="96"/>
      <c r="G24" s="96"/>
      <c r="H24" s="3"/>
      <c r="I24" s="3"/>
      <c r="J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30" hidden="false" customHeight="true" outlineLevel="0" collapsed="false">
      <c r="A26" s="108" t="s">
        <v>63</v>
      </c>
      <c r="B26" s="108"/>
      <c r="C26" s="108"/>
      <c r="D26" s="108"/>
      <c r="E26" s="108"/>
      <c r="F26" s="108"/>
      <c r="G26" s="108"/>
      <c r="H26" s="3"/>
      <c r="I26" s="3"/>
      <c r="J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</row>
  </sheetData>
  <mergeCells count="3">
    <mergeCell ref="A1:G1"/>
    <mergeCell ref="A2:G2"/>
    <mergeCell ref="A26:G26"/>
  </mergeCells>
  <dataValidations count="2">
    <dataValidation allowBlank="false" errorStyle="stop" operator="between" showDropDown="false" showErrorMessage="false" showInputMessage="false" sqref="C5:C24" type="list">
      <formula1>"Cabeza,Ojos,Oídos,Respiratorio,Torso,Manos,Piernas,Pies"</formula1>
      <formula2>0</formula2>
    </dataValidation>
    <dataValidation allowBlank="false" errorStyle="stop" operator="between" showDropDown="false" showErrorMessage="false" showInputMessage="false" sqref="G5:G2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6"/>
  </cols>
  <sheetData>
    <row r="1" customFormat="false" ht="37.5" hidden="false" customHeight="true" outlineLevel="0" collapsed="false">
      <c r="A1" s="109" t="s">
        <v>64</v>
      </c>
      <c r="B1" s="109"/>
      <c r="C1" s="109"/>
      <c r="D1" s="109"/>
      <c r="E1" s="109"/>
      <c r="F1" s="109"/>
      <c r="G1" s="3"/>
      <c r="H1" s="3"/>
    </row>
    <row r="2" customFormat="false" ht="21.75" hidden="false" customHeight="true" outlineLevel="0" collapsed="false">
      <c r="A2" s="90" t="s">
        <v>65</v>
      </c>
      <c r="B2" s="90"/>
      <c r="C2" s="90"/>
      <c r="D2" s="90"/>
      <c r="E2" s="90"/>
      <c r="F2" s="90"/>
      <c r="G2" s="3"/>
      <c r="H2" s="3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7.75" hidden="false" customHeight="true" outlineLevel="0" collapsed="false">
      <c r="A4" s="110" t="s">
        <v>29</v>
      </c>
      <c r="B4" s="110" t="s">
        <v>66</v>
      </c>
      <c r="C4" s="110" t="s">
        <v>67</v>
      </c>
      <c r="D4" s="110" t="s">
        <v>68</v>
      </c>
      <c r="E4" s="110" t="s">
        <v>69</v>
      </c>
      <c r="F4" s="110" t="s">
        <v>70</v>
      </c>
      <c r="G4" s="3"/>
      <c r="H4" s="3"/>
    </row>
    <row r="5" customFormat="false" ht="21.75" hidden="false" customHeight="true" outlineLevel="0" collapsed="false">
      <c r="A5" s="92" t="n">
        <v>1</v>
      </c>
      <c r="B5" s="22" t="s">
        <v>71</v>
      </c>
      <c r="C5" s="92" t="s">
        <v>72</v>
      </c>
      <c r="D5" s="111" t="s">
        <v>73</v>
      </c>
      <c r="E5" s="111" t="s">
        <v>74</v>
      </c>
      <c r="F5" s="92" t="s">
        <v>75</v>
      </c>
      <c r="G5" s="3"/>
      <c r="H5" s="3"/>
    </row>
    <row r="6" customFormat="false" ht="21.75" hidden="false" customHeight="true" outlineLevel="0" collapsed="false">
      <c r="A6" s="96" t="n">
        <v>2</v>
      </c>
      <c r="B6" s="33" t="s">
        <v>76</v>
      </c>
      <c r="C6" s="96" t="s">
        <v>77</v>
      </c>
      <c r="D6" s="112" t="s">
        <v>78</v>
      </c>
      <c r="E6" s="112" t="s">
        <v>79</v>
      </c>
      <c r="F6" s="96" t="s">
        <v>75</v>
      </c>
      <c r="G6" s="3"/>
      <c r="H6" s="3"/>
    </row>
    <row r="7" customFormat="false" ht="21.75" hidden="false" customHeight="true" outlineLevel="0" collapsed="false">
      <c r="A7" s="92" t="n">
        <v>3</v>
      </c>
      <c r="B7" s="22" t="s">
        <v>80</v>
      </c>
      <c r="C7" s="92" t="s">
        <v>81</v>
      </c>
      <c r="D7" s="111" t="s">
        <v>82</v>
      </c>
      <c r="E7" s="111" t="s">
        <v>74</v>
      </c>
      <c r="F7" s="92" t="s">
        <v>75</v>
      </c>
      <c r="G7" s="3"/>
      <c r="H7" s="3"/>
    </row>
    <row r="8" customFormat="false" ht="21.75" hidden="false" customHeight="true" outlineLevel="0" collapsed="false">
      <c r="A8" s="96" t="n">
        <v>4</v>
      </c>
      <c r="B8" s="33" t="s">
        <v>83</v>
      </c>
      <c r="C8" s="96" t="s">
        <v>84</v>
      </c>
      <c r="D8" s="112" t="s">
        <v>73</v>
      </c>
      <c r="E8" s="112" t="s">
        <v>85</v>
      </c>
      <c r="F8" s="96" t="s">
        <v>75</v>
      </c>
      <c r="G8" s="3"/>
      <c r="H8" s="3"/>
    </row>
    <row r="9" customFormat="false" ht="21.75" hidden="false" customHeight="true" outlineLevel="0" collapsed="false">
      <c r="A9" s="92" t="n">
        <v>5</v>
      </c>
      <c r="B9" s="22" t="s">
        <v>86</v>
      </c>
      <c r="C9" s="92" t="s">
        <v>87</v>
      </c>
      <c r="D9" s="111" t="s">
        <v>88</v>
      </c>
      <c r="E9" s="111" t="s">
        <v>79</v>
      </c>
      <c r="F9" s="92" t="s">
        <v>75</v>
      </c>
      <c r="G9" s="3"/>
      <c r="H9" s="3"/>
    </row>
    <row r="10" customFormat="false" ht="21.75" hidden="false" customHeight="true" outlineLevel="0" collapsed="false">
      <c r="A10" s="96" t="n">
        <v>6</v>
      </c>
      <c r="B10" s="33" t="s">
        <v>89</v>
      </c>
      <c r="C10" s="96" t="s">
        <v>90</v>
      </c>
      <c r="D10" s="112" t="s">
        <v>73</v>
      </c>
      <c r="E10" s="112" t="s">
        <v>74</v>
      </c>
      <c r="F10" s="96" t="s">
        <v>75</v>
      </c>
      <c r="G10" s="3"/>
      <c r="H10" s="3"/>
    </row>
    <row r="11" customFormat="false" ht="21.75" hidden="false" customHeight="true" outlineLevel="0" collapsed="false">
      <c r="A11" s="92" t="n">
        <v>7</v>
      </c>
      <c r="B11" s="22" t="s">
        <v>91</v>
      </c>
      <c r="C11" s="92" t="s">
        <v>92</v>
      </c>
      <c r="D11" s="111" t="s">
        <v>93</v>
      </c>
      <c r="E11" s="111" t="s">
        <v>79</v>
      </c>
      <c r="F11" s="92" t="s">
        <v>75</v>
      </c>
      <c r="G11" s="3"/>
      <c r="H11" s="3"/>
    </row>
    <row r="12" customFormat="false" ht="21.75" hidden="false" customHeight="true" outlineLevel="0" collapsed="false">
      <c r="A12" s="96" t="n">
        <v>8</v>
      </c>
      <c r="B12" s="33" t="s">
        <v>94</v>
      </c>
      <c r="C12" s="96" t="s">
        <v>95</v>
      </c>
      <c r="D12" s="112" t="s">
        <v>73</v>
      </c>
      <c r="E12" s="112" t="s">
        <v>85</v>
      </c>
      <c r="F12" s="96" t="s">
        <v>75</v>
      </c>
      <c r="G12" s="3"/>
      <c r="H12" s="3"/>
    </row>
    <row r="13" customFormat="false" ht="21.75" hidden="false" customHeight="true" outlineLevel="0" collapsed="false">
      <c r="A13" s="92" t="n">
        <v>9</v>
      </c>
      <c r="B13" s="22" t="s">
        <v>96</v>
      </c>
      <c r="C13" s="92" t="s">
        <v>97</v>
      </c>
      <c r="D13" s="111" t="s">
        <v>98</v>
      </c>
      <c r="E13" s="111" t="s">
        <v>99</v>
      </c>
      <c r="F13" s="92" t="s">
        <v>75</v>
      </c>
      <c r="G13" s="3"/>
      <c r="H13" s="3"/>
    </row>
    <row r="14" customFormat="false" ht="21.75" hidden="false" customHeight="true" outlineLevel="0" collapsed="false">
      <c r="A14" s="96" t="n">
        <v>10</v>
      </c>
      <c r="B14" s="33" t="s">
        <v>100</v>
      </c>
      <c r="C14" s="96" t="s">
        <v>101</v>
      </c>
      <c r="D14" s="112" t="s">
        <v>73</v>
      </c>
      <c r="E14" s="112" t="s">
        <v>74</v>
      </c>
      <c r="F14" s="96" t="s">
        <v>75</v>
      </c>
      <c r="G14" s="3"/>
      <c r="H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30"/>
  </cols>
  <sheetData>
    <row r="1" customFormat="false" ht="37.5" hidden="false" customHeight="true" outlineLevel="0" collapsed="false">
      <c r="A1" s="113" t="s">
        <v>102</v>
      </c>
      <c r="B1" s="113"/>
      <c r="C1" s="113"/>
      <c r="D1" s="113"/>
      <c r="E1" s="113"/>
      <c r="F1" s="113"/>
      <c r="G1" s="113"/>
      <c r="H1" s="113"/>
      <c r="I1" s="3"/>
      <c r="J1" s="3"/>
    </row>
    <row r="2" customFormat="false" ht="21.75" hidden="false" customHeight="true" outlineLevel="0" collapsed="false">
      <c r="A2" s="90" t="s">
        <v>103</v>
      </c>
      <c r="B2" s="90"/>
      <c r="C2" s="90"/>
      <c r="D2" s="90"/>
      <c r="E2" s="90"/>
      <c r="F2" s="90"/>
      <c r="G2" s="90"/>
      <c r="H2" s="90"/>
      <c r="I2" s="3"/>
      <c r="J2" s="3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7.75" hidden="false" customHeight="true" outlineLevel="0" collapsed="false">
      <c r="A4" s="114" t="s">
        <v>29</v>
      </c>
      <c r="B4" s="114" t="s">
        <v>104</v>
      </c>
      <c r="C4" s="114" t="s">
        <v>105</v>
      </c>
      <c r="D4" s="114" t="s">
        <v>5</v>
      </c>
      <c r="E4" s="114" t="s">
        <v>106</v>
      </c>
      <c r="F4" s="114" t="s">
        <v>107</v>
      </c>
      <c r="G4" s="114" t="s">
        <v>108</v>
      </c>
      <c r="H4" s="114" t="s">
        <v>109</v>
      </c>
      <c r="I4" s="3"/>
      <c r="J4" s="3"/>
    </row>
    <row r="5" customFormat="false" ht="19.5" hidden="false" customHeight="true" outlineLevel="0" collapsed="false">
      <c r="A5" s="115" t="n">
        <v>1</v>
      </c>
      <c r="B5" s="116" t="n">
        <v>45772</v>
      </c>
      <c r="C5" s="92" t="n">
        <f aca="false">IF(B5&lt;&gt;"",YEAR(B5),0)</f>
        <v>2025</v>
      </c>
      <c r="D5" s="117" t="s">
        <v>71</v>
      </c>
      <c r="E5" s="117" t="s">
        <v>36</v>
      </c>
      <c r="F5" s="57" t="str">
        <f aca="false">IF(E5&lt;&gt;"",IFERROR(INDEX('📋 Catálogo EPP'!$C$5:$C$24,MATCH(E5,'📋 Catálogo EPP'!$B$5:$B$24,0)),"?"),"")</f>
        <v>Cabeza</v>
      </c>
      <c r="G5" s="57" t="n">
        <v>1</v>
      </c>
      <c r="H5" s="111" t="s">
        <v>110</v>
      </c>
      <c r="I5" s="3"/>
      <c r="J5" s="3"/>
    </row>
    <row r="6" customFormat="false" ht="19.5" hidden="false" customHeight="true" outlineLevel="0" collapsed="false">
      <c r="A6" s="118" t="n">
        <v>2</v>
      </c>
      <c r="B6" s="119" t="n">
        <v>45772</v>
      </c>
      <c r="C6" s="96" t="n">
        <f aca="false">IF(B6&lt;&gt;"",YEAR(B6),0)</f>
        <v>2025</v>
      </c>
      <c r="D6" s="120" t="s">
        <v>71</v>
      </c>
      <c r="E6" s="120" t="s">
        <v>51</v>
      </c>
      <c r="F6" s="121" t="str">
        <f aca="false">IF(E6&lt;&gt;"",IFERROR(INDEX('📋 Catálogo EPP'!$C$5:$C$24,MATCH(E6,'📋 Catálogo EPP'!$B$5:$B$24,0)),"?"),"")</f>
        <v>Manos</v>
      </c>
      <c r="G6" s="121" t="n">
        <v>2</v>
      </c>
      <c r="H6" s="112" t="s">
        <v>110</v>
      </c>
      <c r="I6" s="3"/>
      <c r="J6" s="3"/>
    </row>
    <row r="7" customFormat="false" ht="19.5" hidden="false" customHeight="true" outlineLevel="0" collapsed="false">
      <c r="A7" s="115" t="n">
        <v>3</v>
      </c>
      <c r="B7" s="116" t="n">
        <v>45773</v>
      </c>
      <c r="C7" s="92" t="n">
        <f aca="false">IF(B7&lt;&gt;"",YEAR(B7),0)</f>
        <v>2025</v>
      </c>
      <c r="D7" s="117" t="s">
        <v>76</v>
      </c>
      <c r="E7" s="117" t="s">
        <v>40</v>
      </c>
      <c r="F7" s="57" t="str">
        <f aca="false">IF(E7&lt;&gt;"",IFERROR(INDEX('📋 Catálogo EPP'!$C$5:$C$24,MATCH(E7,'📋 Catálogo EPP'!$B$5:$B$24,0)),"?"),"")</f>
        <v>Ojos</v>
      </c>
      <c r="G7" s="57" t="n">
        <v>1</v>
      </c>
      <c r="H7" s="111"/>
      <c r="I7" s="3"/>
      <c r="J7" s="3"/>
    </row>
    <row r="8" customFormat="false" ht="19.5" hidden="false" customHeight="true" outlineLevel="0" collapsed="false">
      <c r="A8" s="118" t="n">
        <v>4</v>
      </c>
      <c r="B8" s="119" t="n">
        <v>45773</v>
      </c>
      <c r="C8" s="96" t="n">
        <f aca="false">IF(B8&lt;&gt;"",YEAR(B8),0)</f>
        <v>2025</v>
      </c>
      <c r="D8" s="120" t="s">
        <v>76</v>
      </c>
      <c r="E8" s="120" t="s">
        <v>55</v>
      </c>
      <c r="F8" s="121" t="str">
        <f aca="false">IF(E8&lt;&gt;"",IFERROR(INDEX('📋 Catálogo EPP'!$C$5:$C$24,MATCH(E8,'📋 Catálogo EPP'!$B$5:$B$24,0)),"?"),"")</f>
        <v>Pies</v>
      </c>
      <c r="G8" s="121" t="n">
        <v>1</v>
      </c>
      <c r="H8" s="112" t="s">
        <v>111</v>
      </c>
      <c r="I8" s="3"/>
      <c r="J8" s="3"/>
    </row>
    <row r="9" customFormat="false" ht="19.5" hidden="false" customHeight="true" outlineLevel="0" collapsed="false">
      <c r="A9" s="115" t="n">
        <v>5</v>
      </c>
      <c r="B9" s="116" t="n">
        <v>45774</v>
      </c>
      <c r="C9" s="92" t="n">
        <f aca="false">IF(B9&lt;&gt;"",YEAR(B9),0)</f>
        <v>2025</v>
      </c>
      <c r="D9" s="117" t="s">
        <v>80</v>
      </c>
      <c r="E9" s="117" t="s">
        <v>36</v>
      </c>
      <c r="F9" s="57" t="str">
        <f aca="false">IF(E9&lt;&gt;"",IFERROR(INDEX('📋 Catálogo EPP'!$C$5:$C$24,MATCH(E9,'📋 Catálogo EPP'!$B$5:$B$24,0)),"?"),"")</f>
        <v>Cabeza</v>
      </c>
      <c r="G9" s="57" t="n">
        <v>1</v>
      </c>
      <c r="H9" s="111" t="s">
        <v>110</v>
      </c>
      <c r="I9" s="3"/>
      <c r="J9" s="3"/>
    </row>
    <row r="10" customFormat="false" ht="19.5" hidden="false" customHeight="true" outlineLevel="0" collapsed="false">
      <c r="A10" s="118" t="n">
        <v>6</v>
      </c>
      <c r="B10" s="119" t="n">
        <v>45774</v>
      </c>
      <c r="C10" s="96" t="n">
        <f aca="false">IF(B10&lt;&gt;"",YEAR(B10),0)</f>
        <v>2025</v>
      </c>
      <c r="D10" s="120" t="s">
        <v>83</v>
      </c>
      <c r="E10" s="120" t="s">
        <v>47</v>
      </c>
      <c r="F10" s="121" t="str">
        <f aca="false">IF(E10&lt;&gt;"",IFERROR(INDEX('📋 Catálogo EPP'!$C$5:$C$24,MATCH(E10,'📋 Catálogo EPP'!$B$5:$B$24,0)),"?"),"")</f>
        <v>Torso</v>
      </c>
      <c r="G10" s="121" t="n">
        <v>1</v>
      </c>
      <c r="H10" s="112" t="s">
        <v>112</v>
      </c>
      <c r="I10" s="3"/>
      <c r="J10" s="3"/>
    </row>
    <row r="11" customFormat="false" ht="19.5" hidden="false" customHeight="true" outlineLevel="0" collapsed="false">
      <c r="A11" s="115" t="n">
        <v>7</v>
      </c>
      <c r="B11" s="116" t="n">
        <v>45775</v>
      </c>
      <c r="C11" s="92" t="n">
        <f aca="false">IF(B11&lt;&gt;"",YEAR(B11),0)</f>
        <v>2025</v>
      </c>
      <c r="D11" s="117" t="s">
        <v>86</v>
      </c>
      <c r="E11" s="117" t="s">
        <v>45</v>
      </c>
      <c r="F11" s="57" t="str">
        <f aca="false">IF(E11&lt;&gt;"",IFERROR(INDEX('📋 Catálogo EPP'!$C$5:$C$24,MATCH(E11,'📋 Catálogo EPP'!$B$5:$B$24,0)),"?"),"")</f>
        <v>Respiratorio</v>
      </c>
      <c r="G11" s="57" t="n">
        <v>2</v>
      </c>
      <c r="H11" s="111" t="s">
        <v>113</v>
      </c>
      <c r="I11" s="3"/>
      <c r="J11" s="3"/>
    </row>
    <row r="12" customFormat="false" ht="19.5" hidden="false" customHeight="true" outlineLevel="0" collapsed="false">
      <c r="A12" s="118" t="n">
        <v>8</v>
      </c>
      <c r="B12" s="119" t="n">
        <v>45775</v>
      </c>
      <c r="C12" s="96" t="n">
        <f aca="false">IF(B12&lt;&gt;"",YEAR(B12),0)</f>
        <v>2025</v>
      </c>
      <c r="D12" s="120" t="s">
        <v>89</v>
      </c>
      <c r="E12" s="120" t="s">
        <v>49</v>
      </c>
      <c r="F12" s="121" t="str">
        <f aca="false">IF(E12&lt;&gt;"",IFERROR(INDEX('📋 Catálogo EPP'!$C$5:$C$24,MATCH(E12,'📋 Catálogo EPP'!$B$5:$B$24,0)),"?"),"")</f>
        <v>Torso</v>
      </c>
      <c r="G12" s="121" t="n">
        <v>2</v>
      </c>
      <c r="H12" s="112" t="s">
        <v>114</v>
      </c>
      <c r="I12" s="3"/>
      <c r="J12" s="3"/>
    </row>
    <row r="13" customFormat="false" ht="19.5" hidden="false" customHeight="true" outlineLevel="0" collapsed="false">
      <c r="A13" s="115" t="n">
        <v>9</v>
      </c>
      <c r="B13" s="116" t="n">
        <v>45776</v>
      </c>
      <c r="C13" s="92" t="n">
        <f aca="false">IF(B13&lt;&gt;"",YEAR(B13),0)</f>
        <v>2025</v>
      </c>
      <c r="D13" s="117" t="s">
        <v>91</v>
      </c>
      <c r="E13" s="117" t="s">
        <v>53</v>
      </c>
      <c r="F13" s="57" t="str">
        <f aca="false">IF(E13&lt;&gt;"",IFERROR(INDEX('📋 Catálogo EPP'!$C$5:$C$24,MATCH(E13,'📋 Catálogo EPP'!$B$5:$B$24,0)),"?"),"")</f>
        <v>Piernas</v>
      </c>
      <c r="G13" s="57" t="n">
        <v>1</v>
      </c>
      <c r="H13" s="111" t="s">
        <v>115</v>
      </c>
      <c r="I13" s="3"/>
      <c r="J13" s="3"/>
    </row>
    <row r="14" customFormat="false" ht="19.5" hidden="false" customHeight="true" outlineLevel="0" collapsed="false">
      <c r="A14" s="118" t="n">
        <v>10</v>
      </c>
      <c r="B14" s="119" t="n">
        <v>45776</v>
      </c>
      <c r="C14" s="96" t="n">
        <f aca="false">IF(B14&lt;&gt;"",YEAR(B14),0)</f>
        <v>2025</v>
      </c>
      <c r="D14" s="120" t="s">
        <v>94</v>
      </c>
      <c r="E14" s="120" t="s">
        <v>51</v>
      </c>
      <c r="F14" s="121" t="str">
        <f aca="false">IF(E14&lt;&gt;"",IFERROR(INDEX('📋 Catálogo EPP'!$C$5:$C$24,MATCH(E14,'📋 Catálogo EPP'!$B$5:$B$24,0)),"?"),"")</f>
        <v>Manos</v>
      </c>
      <c r="G14" s="121" t="n">
        <v>1</v>
      </c>
      <c r="H14" s="112" t="s">
        <v>110</v>
      </c>
      <c r="I14" s="3"/>
      <c r="J14" s="3"/>
    </row>
    <row r="15" customFormat="false" ht="19.5" hidden="false" customHeight="true" outlineLevel="0" collapsed="false">
      <c r="A15" s="115" t="n">
        <v>11</v>
      </c>
      <c r="B15" s="122"/>
      <c r="C15" s="92" t="n">
        <f aca="false">IF(B15&lt;&gt;"",YEAR(B15),0)</f>
        <v>0</v>
      </c>
      <c r="D15" s="117"/>
      <c r="E15" s="117"/>
      <c r="F15" s="57" t="str">
        <f aca="false">IF(E15&lt;&gt;"",IFERROR(INDEX('📋 Catálogo EPP'!$C$5:$C$24,MATCH(E15,'📋 Catálogo EPP'!$B$5:$B$24,0)),"?"),"")</f>
        <v/>
      </c>
      <c r="G15" s="122"/>
      <c r="H15" s="117"/>
      <c r="I15" s="3"/>
      <c r="J15" s="3"/>
    </row>
    <row r="16" customFormat="false" ht="19.5" hidden="false" customHeight="true" outlineLevel="0" collapsed="false">
      <c r="A16" s="118" t="n">
        <v>12</v>
      </c>
      <c r="B16" s="123"/>
      <c r="C16" s="96" t="n">
        <f aca="false">IF(B16&lt;&gt;"",YEAR(B16),0)</f>
        <v>0</v>
      </c>
      <c r="D16" s="120"/>
      <c r="E16" s="120"/>
      <c r="F16" s="121" t="str">
        <f aca="false">IF(E16&lt;&gt;"",IFERROR(INDEX('📋 Catálogo EPP'!$C$5:$C$24,MATCH(E16,'📋 Catálogo EPP'!$B$5:$B$24,0)),"?"),"")</f>
        <v/>
      </c>
      <c r="G16" s="123"/>
      <c r="H16" s="120"/>
      <c r="I16" s="3"/>
      <c r="J16" s="3"/>
    </row>
    <row r="17" customFormat="false" ht="19.5" hidden="false" customHeight="true" outlineLevel="0" collapsed="false">
      <c r="A17" s="115" t="n">
        <v>13</v>
      </c>
      <c r="B17" s="122"/>
      <c r="C17" s="92" t="n">
        <f aca="false">IF(B17&lt;&gt;"",YEAR(B17),0)</f>
        <v>0</v>
      </c>
      <c r="D17" s="117"/>
      <c r="E17" s="117"/>
      <c r="F17" s="57" t="str">
        <f aca="false">IF(E17&lt;&gt;"",IFERROR(INDEX('📋 Catálogo EPP'!$C$5:$C$24,MATCH(E17,'📋 Catálogo EPP'!$B$5:$B$24,0)),"?"),"")</f>
        <v/>
      </c>
      <c r="G17" s="122"/>
      <c r="H17" s="117"/>
      <c r="I17" s="3"/>
      <c r="J17" s="3"/>
    </row>
    <row r="18" customFormat="false" ht="19.5" hidden="false" customHeight="true" outlineLevel="0" collapsed="false">
      <c r="A18" s="118" t="n">
        <v>14</v>
      </c>
      <c r="B18" s="123"/>
      <c r="C18" s="96" t="n">
        <f aca="false">IF(B18&lt;&gt;"",YEAR(B18),0)</f>
        <v>0</v>
      </c>
      <c r="D18" s="120"/>
      <c r="E18" s="120"/>
      <c r="F18" s="121" t="str">
        <f aca="false">IF(E18&lt;&gt;"",IFERROR(INDEX('📋 Catálogo EPP'!$C$5:$C$24,MATCH(E18,'📋 Catálogo EPP'!$B$5:$B$24,0)),"?"),"")</f>
        <v/>
      </c>
      <c r="G18" s="123"/>
      <c r="H18" s="120"/>
      <c r="I18" s="3"/>
      <c r="J18" s="3"/>
    </row>
    <row r="19" customFormat="false" ht="19.5" hidden="false" customHeight="true" outlineLevel="0" collapsed="false">
      <c r="A19" s="115" t="n">
        <v>15</v>
      </c>
      <c r="B19" s="122"/>
      <c r="C19" s="92" t="n">
        <f aca="false">IF(B19&lt;&gt;"",YEAR(B19),0)</f>
        <v>0</v>
      </c>
      <c r="D19" s="117"/>
      <c r="E19" s="117"/>
      <c r="F19" s="57" t="str">
        <f aca="false">IF(E19&lt;&gt;"",IFERROR(INDEX('📋 Catálogo EPP'!$C$5:$C$24,MATCH(E19,'📋 Catálogo EPP'!$B$5:$B$24,0)),"?"),"")</f>
        <v/>
      </c>
      <c r="G19" s="122"/>
      <c r="H19" s="117"/>
      <c r="I19" s="3"/>
      <c r="J19" s="3"/>
    </row>
    <row r="20" customFormat="false" ht="19.5" hidden="false" customHeight="true" outlineLevel="0" collapsed="false">
      <c r="A20" s="118" t="n">
        <v>16</v>
      </c>
      <c r="B20" s="123"/>
      <c r="C20" s="96" t="n">
        <f aca="false">IF(B20&lt;&gt;"",YEAR(B20),0)</f>
        <v>0</v>
      </c>
      <c r="D20" s="120"/>
      <c r="E20" s="120"/>
      <c r="F20" s="121" t="str">
        <f aca="false">IF(E20&lt;&gt;"",IFERROR(INDEX('📋 Catálogo EPP'!$C$5:$C$24,MATCH(E20,'📋 Catálogo EPP'!$B$5:$B$24,0)),"?"),"")</f>
        <v/>
      </c>
      <c r="G20" s="123"/>
      <c r="H20" s="120"/>
      <c r="I20" s="3"/>
      <c r="J20" s="3"/>
    </row>
    <row r="21" customFormat="false" ht="19.5" hidden="false" customHeight="true" outlineLevel="0" collapsed="false">
      <c r="A21" s="115" t="n">
        <v>17</v>
      </c>
      <c r="B21" s="122"/>
      <c r="C21" s="92" t="n">
        <f aca="false">IF(B21&lt;&gt;"",YEAR(B21),0)</f>
        <v>0</v>
      </c>
      <c r="D21" s="117"/>
      <c r="E21" s="117"/>
      <c r="F21" s="57" t="str">
        <f aca="false">IF(E21&lt;&gt;"",IFERROR(INDEX('📋 Catálogo EPP'!$C$5:$C$24,MATCH(E21,'📋 Catálogo EPP'!$B$5:$B$24,0)),"?"),"")</f>
        <v/>
      </c>
      <c r="G21" s="122"/>
      <c r="H21" s="117"/>
      <c r="I21" s="3"/>
      <c r="J21" s="3"/>
    </row>
    <row r="22" customFormat="false" ht="19.5" hidden="false" customHeight="true" outlineLevel="0" collapsed="false">
      <c r="A22" s="118" t="n">
        <v>18</v>
      </c>
      <c r="B22" s="123"/>
      <c r="C22" s="96" t="n">
        <f aca="false">IF(B22&lt;&gt;"",YEAR(B22),0)</f>
        <v>0</v>
      </c>
      <c r="D22" s="120"/>
      <c r="E22" s="120"/>
      <c r="F22" s="121" t="str">
        <f aca="false">IF(E22&lt;&gt;"",IFERROR(INDEX('📋 Catálogo EPP'!$C$5:$C$24,MATCH(E22,'📋 Catálogo EPP'!$B$5:$B$24,0)),"?"),"")</f>
        <v/>
      </c>
      <c r="G22" s="123"/>
      <c r="H22" s="120"/>
      <c r="I22" s="3"/>
      <c r="J22" s="3"/>
    </row>
    <row r="23" customFormat="false" ht="19.5" hidden="false" customHeight="true" outlineLevel="0" collapsed="false">
      <c r="A23" s="115" t="n">
        <v>19</v>
      </c>
      <c r="B23" s="122"/>
      <c r="C23" s="92" t="n">
        <f aca="false">IF(B23&lt;&gt;"",YEAR(B23),0)</f>
        <v>0</v>
      </c>
      <c r="D23" s="117"/>
      <c r="E23" s="117"/>
      <c r="F23" s="57" t="str">
        <f aca="false">IF(E23&lt;&gt;"",IFERROR(INDEX('📋 Catálogo EPP'!$C$5:$C$24,MATCH(E23,'📋 Catálogo EPP'!$B$5:$B$24,0)),"?"),"")</f>
        <v/>
      </c>
      <c r="G23" s="122"/>
      <c r="H23" s="117"/>
      <c r="I23" s="3"/>
      <c r="J23" s="3"/>
    </row>
    <row r="24" customFormat="false" ht="19.5" hidden="false" customHeight="true" outlineLevel="0" collapsed="false">
      <c r="A24" s="118" t="n">
        <v>20</v>
      </c>
      <c r="B24" s="123"/>
      <c r="C24" s="96" t="n">
        <f aca="false">IF(B24&lt;&gt;"",YEAR(B24),0)</f>
        <v>0</v>
      </c>
      <c r="D24" s="120"/>
      <c r="E24" s="120"/>
      <c r="F24" s="121" t="str">
        <f aca="false">IF(E24&lt;&gt;"",IFERROR(INDEX('📋 Catálogo EPP'!$C$5:$C$24,MATCH(E24,'📋 Catálogo EPP'!$B$5:$B$24,0)),"?"),"")</f>
        <v/>
      </c>
      <c r="G24" s="123"/>
      <c r="H24" s="120"/>
      <c r="I24" s="3"/>
      <c r="J24" s="3"/>
    </row>
    <row r="25" customFormat="false" ht="19.5" hidden="false" customHeight="true" outlineLevel="0" collapsed="false">
      <c r="A25" s="115" t="n">
        <v>21</v>
      </c>
      <c r="B25" s="122"/>
      <c r="C25" s="92" t="n">
        <f aca="false">IF(B25&lt;&gt;"",YEAR(B25),0)</f>
        <v>0</v>
      </c>
      <c r="D25" s="117"/>
      <c r="E25" s="117"/>
      <c r="F25" s="57" t="str">
        <f aca="false">IF(E25&lt;&gt;"",IFERROR(INDEX('📋 Catálogo EPP'!$C$5:$C$24,MATCH(E25,'📋 Catálogo EPP'!$B$5:$B$24,0)),"?"),"")</f>
        <v/>
      </c>
      <c r="G25" s="122"/>
      <c r="H25" s="117"/>
      <c r="I25" s="3"/>
      <c r="J25" s="3"/>
    </row>
    <row r="26" customFormat="false" ht="19.5" hidden="false" customHeight="true" outlineLevel="0" collapsed="false">
      <c r="A26" s="118" t="n">
        <v>22</v>
      </c>
      <c r="B26" s="123"/>
      <c r="C26" s="96" t="n">
        <f aca="false">IF(B26&lt;&gt;"",YEAR(B26),0)</f>
        <v>0</v>
      </c>
      <c r="D26" s="120"/>
      <c r="E26" s="120"/>
      <c r="F26" s="121" t="str">
        <f aca="false">IF(E26&lt;&gt;"",IFERROR(INDEX('📋 Catálogo EPP'!$C$5:$C$24,MATCH(E26,'📋 Catálogo EPP'!$B$5:$B$24,0)),"?"),"")</f>
        <v/>
      </c>
      <c r="G26" s="123"/>
      <c r="H26" s="120"/>
      <c r="I26" s="3"/>
      <c r="J26" s="3"/>
    </row>
    <row r="27" customFormat="false" ht="19.5" hidden="false" customHeight="true" outlineLevel="0" collapsed="false">
      <c r="A27" s="115" t="n">
        <v>23</v>
      </c>
      <c r="B27" s="122"/>
      <c r="C27" s="92" t="n">
        <f aca="false">IF(B27&lt;&gt;"",YEAR(B27),0)</f>
        <v>0</v>
      </c>
      <c r="D27" s="117"/>
      <c r="E27" s="117"/>
      <c r="F27" s="57" t="str">
        <f aca="false">IF(E27&lt;&gt;"",IFERROR(INDEX('📋 Catálogo EPP'!$C$5:$C$24,MATCH(E27,'📋 Catálogo EPP'!$B$5:$B$24,0)),"?"),"")</f>
        <v/>
      </c>
      <c r="G27" s="122"/>
      <c r="H27" s="117"/>
      <c r="I27" s="3"/>
      <c r="J27" s="3"/>
    </row>
    <row r="28" customFormat="false" ht="19.5" hidden="false" customHeight="true" outlineLevel="0" collapsed="false">
      <c r="A28" s="118" t="n">
        <v>24</v>
      </c>
      <c r="B28" s="123"/>
      <c r="C28" s="96" t="n">
        <f aca="false">IF(B28&lt;&gt;"",YEAR(B28),0)</f>
        <v>0</v>
      </c>
      <c r="D28" s="120"/>
      <c r="E28" s="120"/>
      <c r="F28" s="121" t="str">
        <f aca="false">IF(E28&lt;&gt;"",IFERROR(INDEX('📋 Catálogo EPP'!$C$5:$C$24,MATCH(E28,'📋 Catálogo EPP'!$B$5:$B$24,0)),"?"),"")</f>
        <v/>
      </c>
      <c r="G28" s="123"/>
      <c r="H28" s="120"/>
      <c r="I28" s="3"/>
      <c r="J28" s="3"/>
    </row>
    <row r="29" customFormat="false" ht="19.5" hidden="false" customHeight="true" outlineLevel="0" collapsed="false">
      <c r="A29" s="115" t="n">
        <v>25</v>
      </c>
      <c r="B29" s="122"/>
      <c r="C29" s="92" t="n">
        <f aca="false">IF(B29&lt;&gt;"",YEAR(B29),0)</f>
        <v>0</v>
      </c>
      <c r="D29" s="117"/>
      <c r="E29" s="117"/>
      <c r="F29" s="57" t="str">
        <f aca="false">IF(E29&lt;&gt;"",IFERROR(INDEX('📋 Catálogo EPP'!$C$5:$C$24,MATCH(E29,'📋 Catálogo EPP'!$B$5:$B$24,0)),"?"),"")</f>
        <v/>
      </c>
      <c r="G29" s="122"/>
      <c r="H29" s="117"/>
      <c r="I29" s="3"/>
      <c r="J29" s="3"/>
    </row>
    <row r="30" customFormat="false" ht="19.5" hidden="false" customHeight="true" outlineLevel="0" collapsed="false">
      <c r="A30" s="118" t="n">
        <v>26</v>
      </c>
      <c r="B30" s="123"/>
      <c r="C30" s="96" t="n">
        <f aca="false">IF(B30&lt;&gt;"",YEAR(B30),0)</f>
        <v>0</v>
      </c>
      <c r="D30" s="120"/>
      <c r="E30" s="120"/>
      <c r="F30" s="121" t="str">
        <f aca="false">IF(E30&lt;&gt;"",IFERROR(INDEX('📋 Catálogo EPP'!$C$5:$C$24,MATCH(E30,'📋 Catálogo EPP'!$B$5:$B$24,0)),"?"),"")</f>
        <v/>
      </c>
      <c r="G30" s="123"/>
      <c r="H30" s="120"/>
      <c r="I30" s="3"/>
      <c r="J30" s="3"/>
    </row>
    <row r="31" customFormat="false" ht="19.5" hidden="false" customHeight="true" outlineLevel="0" collapsed="false">
      <c r="A31" s="115" t="n">
        <v>27</v>
      </c>
      <c r="B31" s="122"/>
      <c r="C31" s="92" t="n">
        <f aca="false">IF(B31&lt;&gt;"",YEAR(B31),0)</f>
        <v>0</v>
      </c>
      <c r="D31" s="117"/>
      <c r="E31" s="117"/>
      <c r="F31" s="57" t="str">
        <f aca="false">IF(E31&lt;&gt;"",IFERROR(INDEX('📋 Catálogo EPP'!$C$5:$C$24,MATCH(E31,'📋 Catálogo EPP'!$B$5:$B$24,0)),"?"),"")</f>
        <v/>
      </c>
      <c r="G31" s="122"/>
      <c r="H31" s="117"/>
      <c r="I31" s="3"/>
      <c r="J31" s="3"/>
    </row>
    <row r="32" customFormat="false" ht="19.5" hidden="false" customHeight="true" outlineLevel="0" collapsed="false">
      <c r="A32" s="118" t="n">
        <v>28</v>
      </c>
      <c r="B32" s="123"/>
      <c r="C32" s="96" t="n">
        <f aca="false">IF(B32&lt;&gt;"",YEAR(B32),0)</f>
        <v>0</v>
      </c>
      <c r="D32" s="120"/>
      <c r="E32" s="120"/>
      <c r="F32" s="121" t="str">
        <f aca="false">IF(E32&lt;&gt;"",IFERROR(INDEX('📋 Catálogo EPP'!$C$5:$C$24,MATCH(E32,'📋 Catálogo EPP'!$B$5:$B$24,0)),"?"),"")</f>
        <v/>
      </c>
      <c r="G32" s="123"/>
      <c r="H32" s="120"/>
      <c r="I32" s="3"/>
      <c r="J32" s="3"/>
    </row>
    <row r="33" customFormat="false" ht="19.5" hidden="false" customHeight="true" outlineLevel="0" collapsed="false">
      <c r="A33" s="115" t="n">
        <v>29</v>
      </c>
      <c r="B33" s="122"/>
      <c r="C33" s="92" t="n">
        <f aca="false">IF(B33&lt;&gt;"",YEAR(B33),0)</f>
        <v>0</v>
      </c>
      <c r="D33" s="117"/>
      <c r="E33" s="117"/>
      <c r="F33" s="57" t="str">
        <f aca="false">IF(E33&lt;&gt;"",IFERROR(INDEX('📋 Catálogo EPP'!$C$5:$C$24,MATCH(E33,'📋 Catálogo EPP'!$B$5:$B$24,0)),"?"),"")</f>
        <v/>
      </c>
      <c r="G33" s="122"/>
      <c r="H33" s="117"/>
      <c r="I33" s="3"/>
      <c r="J33" s="3"/>
    </row>
    <row r="34" customFormat="false" ht="19.5" hidden="false" customHeight="true" outlineLevel="0" collapsed="false">
      <c r="A34" s="118" t="n">
        <v>30</v>
      </c>
      <c r="B34" s="123"/>
      <c r="C34" s="96" t="n">
        <f aca="false">IF(B34&lt;&gt;"",YEAR(B34),0)</f>
        <v>0</v>
      </c>
      <c r="D34" s="120"/>
      <c r="E34" s="120"/>
      <c r="F34" s="121" t="str">
        <f aca="false">IF(E34&lt;&gt;"",IFERROR(INDEX('📋 Catálogo EPP'!$C$5:$C$24,MATCH(E34,'📋 Catálogo EPP'!$B$5:$B$24,0)),"?"),"")</f>
        <v/>
      </c>
      <c r="G34" s="123"/>
      <c r="H34" s="120"/>
      <c r="I34" s="3"/>
      <c r="J34" s="3"/>
    </row>
    <row r="35" customFormat="false" ht="19.5" hidden="false" customHeight="true" outlineLevel="0" collapsed="false">
      <c r="A35" s="115" t="n">
        <v>31</v>
      </c>
      <c r="B35" s="122"/>
      <c r="C35" s="92" t="n">
        <f aca="false">IF(B35&lt;&gt;"",YEAR(B35),0)</f>
        <v>0</v>
      </c>
      <c r="D35" s="117"/>
      <c r="E35" s="117"/>
      <c r="F35" s="57" t="str">
        <f aca="false">IF(E35&lt;&gt;"",IFERROR(INDEX('📋 Catálogo EPP'!$C$5:$C$24,MATCH(E35,'📋 Catálogo EPP'!$B$5:$B$24,0)),"?"),"")</f>
        <v/>
      </c>
      <c r="G35" s="122"/>
      <c r="H35" s="117"/>
      <c r="I35" s="3"/>
      <c r="J35" s="3"/>
    </row>
    <row r="36" customFormat="false" ht="19.5" hidden="false" customHeight="true" outlineLevel="0" collapsed="false">
      <c r="A36" s="118" t="n">
        <v>32</v>
      </c>
      <c r="B36" s="123"/>
      <c r="C36" s="96" t="n">
        <f aca="false">IF(B36&lt;&gt;"",YEAR(B36),0)</f>
        <v>0</v>
      </c>
      <c r="D36" s="120"/>
      <c r="E36" s="120"/>
      <c r="F36" s="121" t="str">
        <f aca="false">IF(E36&lt;&gt;"",IFERROR(INDEX('📋 Catálogo EPP'!$C$5:$C$24,MATCH(E36,'📋 Catálogo EPP'!$B$5:$B$24,0)),"?"),"")</f>
        <v/>
      </c>
      <c r="G36" s="123"/>
      <c r="H36" s="120"/>
      <c r="I36" s="3"/>
      <c r="J36" s="3"/>
    </row>
    <row r="37" customFormat="false" ht="19.5" hidden="false" customHeight="true" outlineLevel="0" collapsed="false">
      <c r="A37" s="115" t="n">
        <v>33</v>
      </c>
      <c r="B37" s="122"/>
      <c r="C37" s="92" t="n">
        <f aca="false">IF(B37&lt;&gt;"",YEAR(B37),0)</f>
        <v>0</v>
      </c>
      <c r="D37" s="117"/>
      <c r="E37" s="117"/>
      <c r="F37" s="57" t="str">
        <f aca="false">IF(E37&lt;&gt;"",IFERROR(INDEX('📋 Catálogo EPP'!$C$5:$C$24,MATCH(E37,'📋 Catálogo EPP'!$B$5:$B$24,0)),"?"),"")</f>
        <v/>
      </c>
      <c r="G37" s="122"/>
      <c r="H37" s="117"/>
      <c r="I37" s="3"/>
      <c r="J37" s="3"/>
    </row>
    <row r="38" customFormat="false" ht="19.5" hidden="false" customHeight="true" outlineLevel="0" collapsed="false">
      <c r="A38" s="118" t="n">
        <v>34</v>
      </c>
      <c r="B38" s="123"/>
      <c r="C38" s="96" t="n">
        <f aca="false">IF(B38&lt;&gt;"",YEAR(B38),0)</f>
        <v>0</v>
      </c>
      <c r="D38" s="120"/>
      <c r="E38" s="120"/>
      <c r="F38" s="121" t="str">
        <f aca="false">IF(E38&lt;&gt;"",IFERROR(INDEX('📋 Catálogo EPP'!$C$5:$C$24,MATCH(E38,'📋 Catálogo EPP'!$B$5:$B$24,0)),"?"),"")</f>
        <v/>
      </c>
      <c r="G38" s="123"/>
      <c r="H38" s="120"/>
      <c r="I38" s="3"/>
      <c r="J38" s="3"/>
    </row>
    <row r="39" customFormat="false" ht="19.5" hidden="false" customHeight="true" outlineLevel="0" collapsed="false">
      <c r="A39" s="115" t="n">
        <v>35</v>
      </c>
      <c r="B39" s="122"/>
      <c r="C39" s="92" t="n">
        <f aca="false">IF(B39&lt;&gt;"",YEAR(B39),0)</f>
        <v>0</v>
      </c>
      <c r="D39" s="117"/>
      <c r="E39" s="117"/>
      <c r="F39" s="57" t="str">
        <f aca="false">IF(E39&lt;&gt;"",IFERROR(INDEX('📋 Catálogo EPP'!$C$5:$C$24,MATCH(E39,'📋 Catálogo EPP'!$B$5:$B$24,0)),"?"),"")</f>
        <v/>
      </c>
      <c r="G39" s="122"/>
      <c r="H39" s="117"/>
      <c r="I39" s="3"/>
      <c r="J39" s="3"/>
    </row>
    <row r="40" customFormat="false" ht="19.5" hidden="false" customHeight="true" outlineLevel="0" collapsed="false">
      <c r="A40" s="118" t="n">
        <v>36</v>
      </c>
      <c r="B40" s="123"/>
      <c r="C40" s="96" t="n">
        <f aca="false">IF(B40&lt;&gt;"",YEAR(B40),0)</f>
        <v>0</v>
      </c>
      <c r="D40" s="120"/>
      <c r="E40" s="120"/>
      <c r="F40" s="121" t="str">
        <f aca="false">IF(E40&lt;&gt;"",IFERROR(INDEX('📋 Catálogo EPP'!$C$5:$C$24,MATCH(E40,'📋 Catálogo EPP'!$B$5:$B$24,0)),"?"),"")</f>
        <v/>
      </c>
      <c r="G40" s="123"/>
      <c r="H40" s="120"/>
      <c r="I40" s="3"/>
      <c r="J40" s="3"/>
    </row>
    <row r="41" customFormat="false" ht="19.5" hidden="false" customHeight="true" outlineLevel="0" collapsed="false">
      <c r="A41" s="115" t="n">
        <v>37</v>
      </c>
      <c r="B41" s="122"/>
      <c r="C41" s="92" t="n">
        <f aca="false">IF(B41&lt;&gt;"",YEAR(B41),0)</f>
        <v>0</v>
      </c>
      <c r="D41" s="117"/>
      <c r="E41" s="117"/>
      <c r="F41" s="57" t="str">
        <f aca="false">IF(E41&lt;&gt;"",IFERROR(INDEX('📋 Catálogo EPP'!$C$5:$C$24,MATCH(E41,'📋 Catálogo EPP'!$B$5:$B$24,0)),"?"),"")</f>
        <v/>
      </c>
      <c r="G41" s="122"/>
      <c r="H41" s="117"/>
      <c r="I41" s="3"/>
      <c r="J41" s="3"/>
    </row>
    <row r="42" customFormat="false" ht="19.5" hidden="false" customHeight="true" outlineLevel="0" collapsed="false">
      <c r="A42" s="118" t="n">
        <v>38</v>
      </c>
      <c r="B42" s="123"/>
      <c r="C42" s="96" t="n">
        <f aca="false">IF(B42&lt;&gt;"",YEAR(B42),0)</f>
        <v>0</v>
      </c>
      <c r="D42" s="120"/>
      <c r="E42" s="120"/>
      <c r="F42" s="121" t="str">
        <f aca="false">IF(E42&lt;&gt;"",IFERROR(INDEX('📋 Catálogo EPP'!$C$5:$C$24,MATCH(E42,'📋 Catálogo EPP'!$B$5:$B$24,0)),"?"),"")</f>
        <v/>
      </c>
      <c r="G42" s="123"/>
      <c r="H42" s="120"/>
      <c r="I42" s="3"/>
      <c r="J42" s="3"/>
    </row>
    <row r="43" customFormat="false" ht="19.5" hidden="false" customHeight="true" outlineLevel="0" collapsed="false">
      <c r="A43" s="115" t="n">
        <v>39</v>
      </c>
      <c r="B43" s="122"/>
      <c r="C43" s="92" t="n">
        <f aca="false">IF(B43&lt;&gt;"",YEAR(B43),0)</f>
        <v>0</v>
      </c>
      <c r="D43" s="117"/>
      <c r="E43" s="117"/>
      <c r="F43" s="57" t="str">
        <f aca="false">IF(E43&lt;&gt;"",IFERROR(INDEX('📋 Catálogo EPP'!$C$5:$C$24,MATCH(E43,'📋 Catálogo EPP'!$B$5:$B$24,0)),"?"),"")</f>
        <v/>
      </c>
      <c r="G43" s="122"/>
      <c r="H43" s="117"/>
      <c r="I43" s="3"/>
      <c r="J43" s="3"/>
    </row>
    <row r="44" customFormat="false" ht="19.5" hidden="false" customHeight="true" outlineLevel="0" collapsed="false">
      <c r="A44" s="118" t="n">
        <v>40</v>
      </c>
      <c r="B44" s="123"/>
      <c r="C44" s="96" t="n">
        <f aca="false">IF(B44&lt;&gt;"",YEAR(B44),0)</f>
        <v>0</v>
      </c>
      <c r="D44" s="120"/>
      <c r="E44" s="120"/>
      <c r="F44" s="121" t="str">
        <f aca="false">IF(E44&lt;&gt;"",IFERROR(INDEX('📋 Catálogo EPP'!$C$5:$C$24,MATCH(E44,'📋 Catálogo EPP'!$B$5:$B$24,0)),"?"),"")</f>
        <v/>
      </c>
      <c r="G44" s="123"/>
      <c r="H44" s="120"/>
      <c r="I44" s="3"/>
      <c r="J44" s="3"/>
    </row>
    <row r="45" customFormat="false" ht="19.5" hidden="false" customHeight="true" outlineLevel="0" collapsed="false">
      <c r="A45" s="115" t="n">
        <v>41</v>
      </c>
      <c r="B45" s="122"/>
      <c r="C45" s="92" t="n">
        <f aca="false">IF(B45&lt;&gt;"",YEAR(B45),0)</f>
        <v>0</v>
      </c>
      <c r="D45" s="117"/>
      <c r="E45" s="117"/>
      <c r="F45" s="57" t="str">
        <f aca="false">IF(E45&lt;&gt;"",IFERROR(INDEX('📋 Catálogo EPP'!$C$5:$C$24,MATCH(E45,'📋 Catálogo EPP'!$B$5:$B$24,0)),"?"),"")</f>
        <v/>
      </c>
      <c r="G45" s="122"/>
      <c r="H45" s="117"/>
      <c r="I45" s="3"/>
      <c r="J45" s="3"/>
    </row>
    <row r="46" customFormat="false" ht="19.5" hidden="false" customHeight="true" outlineLevel="0" collapsed="false">
      <c r="A46" s="118" t="n">
        <v>42</v>
      </c>
      <c r="B46" s="123"/>
      <c r="C46" s="96" t="n">
        <f aca="false">IF(B46&lt;&gt;"",YEAR(B46),0)</f>
        <v>0</v>
      </c>
      <c r="D46" s="120"/>
      <c r="E46" s="120"/>
      <c r="F46" s="121" t="str">
        <f aca="false">IF(E46&lt;&gt;"",IFERROR(INDEX('📋 Catálogo EPP'!$C$5:$C$24,MATCH(E46,'📋 Catálogo EPP'!$B$5:$B$24,0)),"?"),"")</f>
        <v/>
      </c>
      <c r="G46" s="123"/>
      <c r="H46" s="120"/>
      <c r="I46" s="3"/>
      <c r="J46" s="3"/>
    </row>
    <row r="47" customFormat="false" ht="19.5" hidden="false" customHeight="true" outlineLevel="0" collapsed="false">
      <c r="A47" s="115" t="n">
        <v>43</v>
      </c>
      <c r="B47" s="122"/>
      <c r="C47" s="92" t="n">
        <f aca="false">IF(B47&lt;&gt;"",YEAR(B47),0)</f>
        <v>0</v>
      </c>
      <c r="D47" s="117"/>
      <c r="E47" s="117"/>
      <c r="F47" s="57" t="str">
        <f aca="false">IF(E47&lt;&gt;"",IFERROR(INDEX('📋 Catálogo EPP'!$C$5:$C$24,MATCH(E47,'📋 Catálogo EPP'!$B$5:$B$24,0)),"?"),"")</f>
        <v/>
      </c>
      <c r="G47" s="122"/>
      <c r="H47" s="117"/>
      <c r="I47" s="3"/>
      <c r="J47" s="3"/>
    </row>
    <row r="48" customFormat="false" ht="19.5" hidden="false" customHeight="true" outlineLevel="0" collapsed="false">
      <c r="A48" s="118" t="n">
        <v>44</v>
      </c>
      <c r="B48" s="123"/>
      <c r="C48" s="96" t="n">
        <f aca="false">IF(B48&lt;&gt;"",YEAR(B48),0)</f>
        <v>0</v>
      </c>
      <c r="D48" s="120"/>
      <c r="E48" s="120"/>
      <c r="F48" s="121" t="str">
        <f aca="false">IF(E48&lt;&gt;"",IFERROR(INDEX('📋 Catálogo EPP'!$C$5:$C$24,MATCH(E48,'📋 Catálogo EPP'!$B$5:$B$24,0)),"?"),"")</f>
        <v/>
      </c>
      <c r="G48" s="123"/>
      <c r="H48" s="120"/>
      <c r="I48" s="3"/>
      <c r="J48" s="3"/>
    </row>
    <row r="49" customFormat="false" ht="19.5" hidden="false" customHeight="true" outlineLevel="0" collapsed="false">
      <c r="A49" s="115" t="n">
        <v>45</v>
      </c>
      <c r="B49" s="122"/>
      <c r="C49" s="92" t="n">
        <f aca="false">IF(B49&lt;&gt;"",YEAR(B49),0)</f>
        <v>0</v>
      </c>
      <c r="D49" s="117"/>
      <c r="E49" s="117"/>
      <c r="F49" s="57" t="str">
        <f aca="false">IF(E49&lt;&gt;"",IFERROR(INDEX('📋 Catálogo EPP'!$C$5:$C$24,MATCH(E49,'📋 Catálogo EPP'!$B$5:$B$24,0)),"?"),"")</f>
        <v/>
      </c>
      <c r="G49" s="122"/>
      <c r="H49" s="117"/>
      <c r="I49" s="3"/>
      <c r="J49" s="3"/>
    </row>
    <row r="50" customFormat="false" ht="19.5" hidden="false" customHeight="true" outlineLevel="0" collapsed="false">
      <c r="A50" s="118" t="n">
        <v>46</v>
      </c>
      <c r="B50" s="123"/>
      <c r="C50" s="96" t="n">
        <f aca="false">IF(B50&lt;&gt;"",YEAR(B50),0)</f>
        <v>0</v>
      </c>
      <c r="D50" s="120"/>
      <c r="E50" s="120"/>
      <c r="F50" s="121" t="str">
        <f aca="false">IF(E50&lt;&gt;"",IFERROR(INDEX('📋 Catálogo EPP'!$C$5:$C$24,MATCH(E50,'📋 Catálogo EPP'!$B$5:$B$24,0)),"?"),"")</f>
        <v/>
      </c>
      <c r="G50" s="123"/>
      <c r="H50" s="120"/>
      <c r="I50" s="3"/>
      <c r="J50" s="3"/>
    </row>
    <row r="51" customFormat="false" ht="19.5" hidden="false" customHeight="true" outlineLevel="0" collapsed="false">
      <c r="A51" s="115" t="n">
        <v>47</v>
      </c>
      <c r="B51" s="122"/>
      <c r="C51" s="92" t="n">
        <f aca="false">IF(B51&lt;&gt;"",YEAR(B51),0)</f>
        <v>0</v>
      </c>
      <c r="D51" s="117"/>
      <c r="E51" s="117"/>
      <c r="F51" s="57" t="str">
        <f aca="false">IF(E51&lt;&gt;"",IFERROR(INDEX('📋 Catálogo EPP'!$C$5:$C$24,MATCH(E51,'📋 Catálogo EPP'!$B$5:$B$24,0)),"?"),"")</f>
        <v/>
      </c>
      <c r="G51" s="122"/>
      <c r="H51" s="117"/>
      <c r="I51" s="3"/>
      <c r="J51" s="3"/>
    </row>
    <row r="52" customFormat="false" ht="19.5" hidden="false" customHeight="true" outlineLevel="0" collapsed="false">
      <c r="A52" s="118" t="n">
        <v>48</v>
      </c>
      <c r="B52" s="123"/>
      <c r="C52" s="96" t="n">
        <f aca="false">IF(B52&lt;&gt;"",YEAR(B52),0)</f>
        <v>0</v>
      </c>
      <c r="D52" s="120"/>
      <c r="E52" s="120"/>
      <c r="F52" s="121" t="str">
        <f aca="false">IF(E52&lt;&gt;"",IFERROR(INDEX('📋 Catálogo EPP'!$C$5:$C$24,MATCH(E52,'📋 Catálogo EPP'!$B$5:$B$24,0)),"?"),"")</f>
        <v/>
      </c>
      <c r="G52" s="123"/>
      <c r="H52" s="120"/>
      <c r="I52" s="3"/>
      <c r="J52" s="3"/>
    </row>
    <row r="53" customFormat="false" ht="19.5" hidden="false" customHeight="true" outlineLevel="0" collapsed="false">
      <c r="A53" s="115" t="n">
        <v>49</v>
      </c>
      <c r="B53" s="122"/>
      <c r="C53" s="92" t="n">
        <f aca="false">IF(B53&lt;&gt;"",YEAR(B53),0)</f>
        <v>0</v>
      </c>
      <c r="D53" s="117"/>
      <c r="E53" s="117"/>
      <c r="F53" s="57" t="str">
        <f aca="false">IF(E53&lt;&gt;"",IFERROR(INDEX('📋 Catálogo EPP'!$C$5:$C$24,MATCH(E53,'📋 Catálogo EPP'!$B$5:$B$24,0)),"?"),"")</f>
        <v/>
      </c>
      <c r="G53" s="122"/>
      <c r="H53" s="117"/>
      <c r="I53" s="3"/>
      <c r="J53" s="3"/>
    </row>
    <row r="54" customFormat="false" ht="19.5" hidden="false" customHeight="true" outlineLevel="0" collapsed="false">
      <c r="A54" s="118" t="n">
        <v>50</v>
      </c>
      <c r="B54" s="123"/>
      <c r="C54" s="96" t="n">
        <f aca="false">IF(B54&lt;&gt;"",YEAR(B54),0)</f>
        <v>0</v>
      </c>
      <c r="D54" s="120"/>
      <c r="E54" s="120"/>
      <c r="F54" s="121" t="str">
        <f aca="false">IF(E54&lt;&gt;"",IFERROR(INDEX('📋 Catálogo EPP'!$C$5:$C$24,MATCH(E54,'📋 Catálogo EPP'!$B$5:$B$24,0)),"?"),"")</f>
        <v/>
      </c>
      <c r="G54" s="123"/>
      <c r="H54" s="120"/>
      <c r="I54" s="3"/>
      <c r="J54" s="3"/>
    </row>
    <row r="55" customFormat="false" ht="19.5" hidden="false" customHeight="true" outlineLevel="0" collapsed="false">
      <c r="A55" s="115" t="n">
        <v>51</v>
      </c>
      <c r="B55" s="122"/>
      <c r="C55" s="92" t="n">
        <f aca="false">IF(B55&lt;&gt;"",YEAR(B55),0)</f>
        <v>0</v>
      </c>
      <c r="D55" s="117"/>
      <c r="E55" s="117"/>
      <c r="F55" s="57" t="str">
        <f aca="false">IF(E55&lt;&gt;"",IFERROR(INDEX('📋 Catálogo EPP'!$C$5:$C$24,MATCH(E55,'📋 Catálogo EPP'!$B$5:$B$24,0)),"?"),"")</f>
        <v/>
      </c>
      <c r="G55" s="122"/>
      <c r="H55" s="117"/>
      <c r="I55" s="3"/>
      <c r="J55" s="3"/>
    </row>
    <row r="56" customFormat="false" ht="19.5" hidden="false" customHeight="true" outlineLevel="0" collapsed="false">
      <c r="A56" s="118" t="n">
        <v>52</v>
      </c>
      <c r="B56" s="123"/>
      <c r="C56" s="96" t="n">
        <f aca="false">IF(B56&lt;&gt;"",YEAR(B56),0)</f>
        <v>0</v>
      </c>
      <c r="D56" s="120"/>
      <c r="E56" s="120"/>
      <c r="F56" s="121" t="str">
        <f aca="false">IF(E56&lt;&gt;"",IFERROR(INDEX('📋 Catálogo EPP'!$C$5:$C$24,MATCH(E56,'📋 Catálogo EPP'!$B$5:$B$24,0)),"?"),"")</f>
        <v/>
      </c>
      <c r="G56" s="123"/>
      <c r="H56" s="120"/>
      <c r="I56" s="3"/>
      <c r="J56" s="3"/>
    </row>
    <row r="57" customFormat="false" ht="19.5" hidden="false" customHeight="true" outlineLevel="0" collapsed="false">
      <c r="A57" s="115" t="n">
        <v>53</v>
      </c>
      <c r="B57" s="122"/>
      <c r="C57" s="92" t="n">
        <f aca="false">IF(B57&lt;&gt;"",YEAR(B57),0)</f>
        <v>0</v>
      </c>
      <c r="D57" s="117"/>
      <c r="E57" s="117"/>
      <c r="F57" s="57" t="str">
        <f aca="false">IF(E57&lt;&gt;"",IFERROR(INDEX('📋 Catálogo EPP'!$C$5:$C$24,MATCH(E57,'📋 Catálogo EPP'!$B$5:$B$24,0)),"?"),"")</f>
        <v/>
      </c>
      <c r="G57" s="122"/>
      <c r="H57" s="117"/>
      <c r="I57" s="3"/>
      <c r="J57" s="3"/>
    </row>
    <row r="58" customFormat="false" ht="19.5" hidden="false" customHeight="true" outlineLevel="0" collapsed="false">
      <c r="A58" s="118" t="n">
        <v>54</v>
      </c>
      <c r="B58" s="123"/>
      <c r="C58" s="96" t="n">
        <f aca="false">IF(B58&lt;&gt;"",YEAR(B58),0)</f>
        <v>0</v>
      </c>
      <c r="D58" s="120"/>
      <c r="E58" s="120"/>
      <c r="F58" s="121" t="str">
        <f aca="false">IF(E58&lt;&gt;"",IFERROR(INDEX('📋 Catálogo EPP'!$C$5:$C$24,MATCH(E58,'📋 Catálogo EPP'!$B$5:$B$24,0)),"?"),"")</f>
        <v/>
      </c>
      <c r="G58" s="123"/>
      <c r="H58" s="120"/>
      <c r="I58" s="3"/>
      <c r="J58" s="3"/>
    </row>
    <row r="59" customFormat="false" ht="19.5" hidden="false" customHeight="true" outlineLevel="0" collapsed="false">
      <c r="A59" s="115" t="n">
        <v>55</v>
      </c>
      <c r="B59" s="122"/>
      <c r="C59" s="92" t="n">
        <f aca="false">IF(B59&lt;&gt;"",YEAR(B59),0)</f>
        <v>0</v>
      </c>
      <c r="D59" s="117"/>
      <c r="E59" s="117"/>
      <c r="F59" s="57" t="str">
        <f aca="false">IF(E59&lt;&gt;"",IFERROR(INDEX('📋 Catálogo EPP'!$C$5:$C$24,MATCH(E59,'📋 Catálogo EPP'!$B$5:$B$24,0)),"?"),"")</f>
        <v/>
      </c>
      <c r="G59" s="122"/>
      <c r="H59" s="117"/>
      <c r="I59" s="3"/>
      <c r="J59" s="3"/>
    </row>
    <row r="60" customFormat="false" ht="19.5" hidden="false" customHeight="true" outlineLevel="0" collapsed="false">
      <c r="A60" s="118" t="n">
        <v>56</v>
      </c>
      <c r="B60" s="123"/>
      <c r="C60" s="96" t="n">
        <f aca="false">IF(B60&lt;&gt;"",YEAR(B60),0)</f>
        <v>0</v>
      </c>
      <c r="D60" s="120"/>
      <c r="E60" s="120"/>
      <c r="F60" s="121" t="str">
        <f aca="false">IF(E60&lt;&gt;"",IFERROR(INDEX('📋 Catálogo EPP'!$C$5:$C$24,MATCH(E60,'📋 Catálogo EPP'!$B$5:$B$24,0)),"?"),"")</f>
        <v/>
      </c>
      <c r="G60" s="123"/>
      <c r="H60" s="120"/>
      <c r="I60" s="3"/>
      <c r="J60" s="3"/>
    </row>
    <row r="61" customFormat="false" ht="19.5" hidden="false" customHeight="true" outlineLevel="0" collapsed="false">
      <c r="A61" s="115" t="n">
        <v>57</v>
      </c>
      <c r="B61" s="122"/>
      <c r="C61" s="92" t="n">
        <f aca="false">IF(B61&lt;&gt;"",YEAR(B61),0)</f>
        <v>0</v>
      </c>
      <c r="D61" s="117"/>
      <c r="E61" s="117"/>
      <c r="F61" s="57" t="str">
        <f aca="false">IF(E61&lt;&gt;"",IFERROR(INDEX('📋 Catálogo EPP'!$C$5:$C$24,MATCH(E61,'📋 Catálogo EPP'!$B$5:$B$24,0)),"?"),"")</f>
        <v/>
      </c>
      <c r="G61" s="122"/>
      <c r="H61" s="117"/>
      <c r="I61" s="3"/>
      <c r="J61" s="3"/>
    </row>
    <row r="62" customFormat="false" ht="19.5" hidden="false" customHeight="true" outlineLevel="0" collapsed="false">
      <c r="A62" s="118" t="n">
        <v>58</v>
      </c>
      <c r="B62" s="123"/>
      <c r="C62" s="96" t="n">
        <f aca="false">IF(B62&lt;&gt;"",YEAR(B62),0)</f>
        <v>0</v>
      </c>
      <c r="D62" s="120"/>
      <c r="E62" s="120"/>
      <c r="F62" s="121" t="str">
        <f aca="false">IF(E62&lt;&gt;"",IFERROR(INDEX('📋 Catálogo EPP'!$C$5:$C$24,MATCH(E62,'📋 Catálogo EPP'!$B$5:$B$24,0)),"?"),"")</f>
        <v/>
      </c>
      <c r="G62" s="123"/>
      <c r="H62" s="120"/>
      <c r="I62" s="3"/>
      <c r="J62" s="3"/>
    </row>
    <row r="63" customFormat="false" ht="19.5" hidden="false" customHeight="true" outlineLevel="0" collapsed="false">
      <c r="A63" s="115" t="n">
        <v>59</v>
      </c>
      <c r="B63" s="122"/>
      <c r="C63" s="92" t="n">
        <f aca="false">IF(B63&lt;&gt;"",YEAR(B63),0)</f>
        <v>0</v>
      </c>
      <c r="D63" s="117"/>
      <c r="E63" s="117"/>
      <c r="F63" s="57" t="str">
        <f aca="false">IF(E63&lt;&gt;"",IFERROR(INDEX('📋 Catálogo EPP'!$C$5:$C$24,MATCH(E63,'📋 Catálogo EPP'!$B$5:$B$24,0)),"?"),"")</f>
        <v/>
      </c>
      <c r="G63" s="122"/>
      <c r="H63" s="117"/>
      <c r="I63" s="3"/>
      <c r="J63" s="3"/>
    </row>
    <row r="64" customFormat="false" ht="19.5" hidden="false" customHeight="true" outlineLevel="0" collapsed="false">
      <c r="A64" s="118" t="n">
        <v>60</v>
      </c>
      <c r="B64" s="123"/>
      <c r="C64" s="96" t="n">
        <f aca="false">IF(B64&lt;&gt;"",YEAR(B64),0)</f>
        <v>0</v>
      </c>
      <c r="D64" s="120"/>
      <c r="E64" s="120"/>
      <c r="F64" s="121" t="str">
        <f aca="false">IF(E64&lt;&gt;"",IFERROR(INDEX('📋 Catálogo EPP'!$C$5:$C$24,MATCH(E64,'📋 Catálogo EPP'!$B$5:$B$24,0)),"?"),"")</f>
        <v/>
      </c>
      <c r="G64" s="123"/>
      <c r="H64" s="120"/>
      <c r="I64" s="3"/>
      <c r="J64" s="3"/>
    </row>
    <row r="65" customFormat="false" ht="19.5" hidden="false" customHeight="true" outlineLevel="0" collapsed="false">
      <c r="A65" s="115" t="n">
        <v>61</v>
      </c>
      <c r="B65" s="122"/>
      <c r="C65" s="92" t="n">
        <f aca="false">IF(B65&lt;&gt;"",YEAR(B65),0)</f>
        <v>0</v>
      </c>
      <c r="D65" s="117"/>
      <c r="E65" s="117"/>
      <c r="F65" s="57" t="str">
        <f aca="false">IF(E65&lt;&gt;"",IFERROR(INDEX('📋 Catálogo EPP'!$C$5:$C$24,MATCH(E65,'📋 Catálogo EPP'!$B$5:$B$24,0)),"?"),"")</f>
        <v/>
      </c>
      <c r="G65" s="122"/>
      <c r="H65" s="117"/>
      <c r="I65" s="3"/>
      <c r="J65" s="3"/>
    </row>
    <row r="66" customFormat="false" ht="19.5" hidden="false" customHeight="true" outlineLevel="0" collapsed="false">
      <c r="A66" s="118" t="n">
        <v>62</v>
      </c>
      <c r="B66" s="123"/>
      <c r="C66" s="96" t="n">
        <f aca="false">IF(B66&lt;&gt;"",YEAR(B66),0)</f>
        <v>0</v>
      </c>
      <c r="D66" s="120"/>
      <c r="E66" s="120"/>
      <c r="F66" s="121" t="str">
        <f aca="false">IF(E66&lt;&gt;"",IFERROR(INDEX('📋 Catálogo EPP'!$C$5:$C$24,MATCH(E66,'📋 Catálogo EPP'!$B$5:$B$24,0)),"?"),"")</f>
        <v/>
      </c>
      <c r="G66" s="123"/>
      <c r="H66" s="120"/>
      <c r="I66" s="3"/>
      <c r="J66" s="3"/>
    </row>
    <row r="67" customFormat="false" ht="19.5" hidden="false" customHeight="true" outlineLevel="0" collapsed="false">
      <c r="A67" s="115" t="n">
        <v>63</v>
      </c>
      <c r="B67" s="122"/>
      <c r="C67" s="92" t="n">
        <f aca="false">IF(B67&lt;&gt;"",YEAR(B67),0)</f>
        <v>0</v>
      </c>
      <c r="D67" s="117"/>
      <c r="E67" s="117"/>
      <c r="F67" s="57" t="str">
        <f aca="false">IF(E67&lt;&gt;"",IFERROR(INDEX('📋 Catálogo EPP'!$C$5:$C$24,MATCH(E67,'📋 Catálogo EPP'!$B$5:$B$24,0)),"?"),"")</f>
        <v/>
      </c>
      <c r="G67" s="122"/>
      <c r="H67" s="117"/>
      <c r="I67" s="3"/>
      <c r="J67" s="3"/>
    </row>
    <row r="68" customFormat="false" ht="19.5" hidden="false" customHeight="true" outlineLevel="0" collapsed="false">
      <c r="A68" s="118" t="n">
        <v>64</v>
      </c>
      <c r="B68" s="123"/>
      <c r="C68" s="96" t="n">
        <f aca="false">IF(B68&lt;&gt;"",YEAR(B68),0)</f>
        <v>0</v>
      </c>
      <c r="D68" s="120"/>
      <c r="E68" s="120"/>
      <c r="F68" s="121" t="str">
        <f aca="false">IF(E68&lt;&gt;"",IFERROR(INDEX('📋 Catálogo EPP'!$C$5:$C$24,MATCH(E68,'📋 Catálogo EPP'!$B$5:$B$24,0)),"?"),"")</f>
        <v/>
      </c>
      <c r="G68" s="123"/>
      <c r="H68" s="120"/>
      <c r="I68" s="3"/>
      <c r="J68" s="3"/>
    </row>
    <row r="69" customFormat="false" ht="19.5" hidden="false" customHeight="true" outlineLevel="0" collapsed="false">
      <c r="A69" s="115" t="n">
        <v>65</v>
      </c>
      <c r="B69" s="122"/>
      <c r="C69" s="92" t="n">
        <f aca="false">IF(B69&lt;&gt;"",YEAR(B69),0)</f>
        <v>0</v>
      </c>
      <c r="D69" s="117"/>
      <c r="E69" s="117"/>
      <c r="F69" s="57" t="str">
        <f aca="false">IF(E69&lt;&gt;"",IFERROR(INDEX('📋 Catálogo EPP'!$C$5:$C$24,MATCH(E69,'📋 Catálogo EPP'!$B$5:$B$24,0)),"?"),"")</f>
        <v/>
      </c>
      <c r="G69" s="122"/>
      <c r="H69" s="117"/>
      <c r="I69" s="3"/>
      <c r="J69" s="3"/>
    </row>
    <row r="70" customFormat="false" ht="19.5" hidden="false" customHeight="true" outlineLevel="0" collapsed="false">
      <c r="A70" s="118" t="n">
        <v>66</v>
      </c>
      <c r="B70" s="123"/>
      <c r="C70" s="96" t="n">
        <f aca="false">IF(B70&lt;&gt;"",YEAR(B70),0)</f>
        <v>0</v>
      </c>
      <c r="D70" s="120"/>
      <c r="E70" s="120"/>
      <c r="F70" s="121" t="str">
        <f aca="false">IF(E70&lt;&gt;"",IFERROR(INDEX('📋 Catálogo EPP'!$C$5:$C$24,MATCH(E70,'📋 Catálogo EPP'!$B$5:$B$24,0)),"?"),"")</f>
        <v/>
      </c>
      <c r="G70" s="123"/>
      <c r="H70" s="120"/>
      <c r="I70" s="3"/>
      <c r="J70" s="3"/>
    </row>
    <row r="71" customFormat="false" ht="19.5" hidden="false" customHeight="true" outlineLevel="0" collapsed="false">
      <c r="A71" s="115" t="n">
        <v>67</v>
      </c>
      <c r="B71" s="122"/>
      <c r="C71" s="92" t="n">
        <f aca="false">IF(B71&lt;&gt;"",YEAR(B71),0)</f>
        <v>0</v>
      </c>
      <c r="D71" s="117"/>
      <c r="E71" s="117"/>
      <c r="F71" s="57" t="str">
        <f aca="false">IF(E71&lt;&gt;"",IFERROR(INDEX('📋 Catálogo EPP'!$C$5:$C$24,MATCH(E71,'📋 Catálogo EPP'!$B$5:$B$24,0)),"?"),"")</f>
        <v/>
      </c>
      <c r="G71" s="122"/>
      <c r="H71" s="117"/>
      <c r="I71" s="3"/>
      <c r="J71" s="3"/>
    </row>
    <row r="72" customFormat="false" ht="19.5" hidden="false" customHeight="true" outlineLevel="0" collapsed="false">
      <c r="A72" s="118" t="n">
        <v>68</v>
      </c>
      <c r="B72" s="123"/>
      <c r="C72" s="96" t="n">
        <f aca="false">IF(B72&lt;&gt;"",YEAR(B72),0)</f>
        <v>0</v>
      </c>
      <c r="D72" s="120"/>
      <c r="E72" s="120"/>
      <c r="F72" s="121" t="str">
        <f aca="false">IF(E72&lt;&gt;"",IFERROR(INDEX('📋 Catálogo EPP'!$C$5:$C$24,MATCH(E72,'📋 Catálogo EPP'!$B$5:$B$24,0)),"?"),"")</f>
        <v/>
      </c>
      <c r="G72" s="123"/>
      <c r="H72" s="120"/>
      <c r="I72" s="3"/>
      <c r="J72" s="3"/>
    </row>
    <row r="73" customFormat="false" ht="19.5" hidden="false" customHeight="true" outlineLevel="0" collapsed="false">
      <c r="A73" s="115" t="n">
        <v>69</v>
      </c>
      <c r="B73" s="122"/>
      <c r="C73" s="92" t="n">
        <f aca="false">IF(B73&lt;&gt;"",YEAR(B73),0)</f>
        <v>0</v>
      </c>
      <c r="D73" s="117"/>
      <c r="E73" s="117"/>
      <c r="F73" s="57" t="str">
        <f aca="false">IF(E73&lt;&gt;"",IFERROR(INDEX('📋 Catálogo EPP'!$C$5:$C$24,MATCH(E73,'📋 Catálogo EPP'!$B$5:$B$24,0)),"?"),"")</f>
        <v/>
      </c>
      <c r="G73" s="122"/>
      <c r="H73" s="117"/>
      <c r="I73" s="3"/>
      <c r="J73" s="3"/>
    </row>
    <row r="74" customFormat="false" ht="19.5" hidden="false" customHeight="true" outlineLevel="0" collapsed="false">
      <c r="A74" s="118" t="n">
        <v>70</v>
      </c>
      <c r="B74" s="123"/>
      <c r="C74" s="96" t="n">
        <f aca="false">IF(B74&lt;&gt;"",YEAR(B74),0)</f>
        <v>0</v>
      </c>
      <c r="D74" s="120"/>
      <c r="E74" s="120"/>
      <c r="F74" s="121" t="str">
        <f aca="false">IF(E74&lt;&gt;"",IFERROR(INDEX('📋 Catálogo EPP'!$C$5:$C$24,MATCH(E74,'📋 Catálogo EPP'!$B$5:$B$24,0)),"?"),"")</f>
        <v/>
      </c>
      <c r="G74" s="123"/>
      <c r="H74" s="120"/>
      <c r="I74" s="3"/>
      <c r="J74" s="3"/>
    </row>
    <row r="75" customFormat="false" ht="19.5" hidden="false" customHeight="true" outlineLevel="0" collapsed="false">
      <c r="A75" s="115" t="n">
        <v>71</v>
      </c>
      <c r="B75" s="122"/>
      <c r="C75" s="92" t="n">
        <f aca="false">IF(B75&lt;&gt;"",YEAR(B75),0)</f>
        <v>0</v>
      </c>
      <c r="D75" s="117"/>
      <c r="E75" s="117"/>
      <c r="F75" s="57" t="str">
        <f aca="false">IF(E75&lt;&gt;"",IFERROR(INDEX('📋 Catálogo EPP'!$C$5:$C$24,MATCH(E75,'📋 Catálogo EPP'!$B$5:$B$24,0)),"?"),"")</f>
        <v/>
      </c>
      <c r="G75" s="122"/>
      <c r="H75" s="117"/>
      <c r="I75" s="3"/>
      <c r="J75" s="3"/>
    </row>
    <row r="76" customFormat="false" ht="19.5" hidden="false" customHeight="true" outlineLevel="0" collapsed="false">
      <c r="A76" s="118" t="n">
        <v>72</v>
      </c>
      <c r="B76" s="123"/>
      <c r="C76" s="96" t="n">
        <f aca="false">IF(B76&lt;&gt;"",YEAR(B76),0)</f>
        <v>0</v>
      </c>
      <c r="D76" s="120"/>
      <c r="E76" s="120"/>
      <c r="F76" s="121" t="str">
        <f aca="false">IF(E76&lt;&gt;"",IFERROR(INDEX('📋 Catálogo EPP'!$C$5:$C$24,MATCH(E76,'📋 Catálogo EPP'!$B$5:$B$24,0)),"?"),"")</f>
        <v/>
      </c>
      <c r="G76" s="123"/>
      <c r="H76" s="120"/>
      <c r="I76" s="3"/>
      <c r="J76" s="3"/>
    </row>
    <row r="77" customFormat="false" ht="19.5" hidden="false" customHeight="true" outlineLevel="0" collapsed="false">
      <c r="A77" s="115" t="n">
        <v>73</v>
      </c>
      <c r="B77" s="122"/>
      <c r="C77" s="92" t="n">
        <f aca="false">IF(B77&lt;&gt;"",YEAR(B77),0)</f>
        <v>0</v>
      </c>
      <c r="D77" s="117"/>
      <c r="E77" s="117"/>
      <c r="F77" s="57" t="str">
        <f aca="false">IF(E77&lt;&gt;"",IFERROR(INDEX('📋 Catálogo EPP'!$C$5:$C$24,MATCH(E77,'📋 Catálogo EPP'!$B$5:$B$24,0)),"?"),"")</f>
        <v/>
      </c>
      <c r="G77" s="122"/>
      <c r="H77" s="117"/>
      <c r="I77" s="3"/>
      <c r="J77" s="3"/>
    </row>
    <row r="78" customFormat="false" ht="19.5" hidden="false" customHeight="true" outlineLevel="0" collapsed="false">
      <c r="A78" s="118" t="n">
        <v>74</v>
      </c>
      <c r="B78" s="123"/>
      <c r="C78" s="96" t="n">
        <f aca="false">IF(B78&lt;&gt;"",YEAR(B78),0)</f>
        <v>0</v>
      </c>
      <c r="D78" s="120"/>
      <c r="E78" s="120"/>
      <c r="F78" s="121" t="str">
        <f aca="false">IF(E78&lt;&gt;"",IFERROR(INDEX('📋 Catálogo EPP'!$C$5:$C$24,MATCH(E78,'📋 Catálogo EPP'!$B$5:$B$24,0)),"?"),"")</f>
        <v/>
      </c>
      <c r="G78" s="123"/>
      <c r="H78" s="120"/>
      <c r="I78" s="3"/>
      <c r="J78" s="3"/>
    </row>
    <row r="79" customFormat="false" ht="19.5" hidden="false" customHeight="true" outlineLevel="0" collapsed="false">
      <c r="A79" s="115" t="n">
        <v>75</v>
      </c>
      <c r="B79" s="122"/>
      <c r="C79" s="92" t="n">
        <f aca="false">IF(B79&lt;&gt;"",YEAR(B79),0)</f>
        <v>0</v>
      </c>
      <c r="D79" s="117"/>
      <c r="E79" s="117"/>
      <c r="F79" s="57" t="str">
        <f aca="false">IF(E79&lt;&gt;"",IFERROR(INDEX('📋 Catálogo EPP'!$C$5:$C$24,MATCH(E79,'📋 Catálogo EPP'!$B$5:$B$24,0)),"?"),"")</f>
        <v/>
      </c>
      <c r="G79" s="122"/>
      <c r="H79" s="117"/>
      <c r="I79" s="3"/>
      <c r="J79" s="3"/>
    </row>
    <row r="80" customFormat="false" ht="19.5" hidden="false" customHeight="true" outlineLevel="0" collapsed="false">
      <c r="A80" s="118" t="n">
        <v>76</v>
      </c>
      <c r="B80" s="123"/>
      <c r="C80" s="96" t="n">
        <f aca="false">IF(B80&lt;&gt;"",YEAR(B80),0)</f>
        <v>0</v>
      </c>
      <c r="D80" s="120"/>
      <c r="E80" s="120"/>
      <c r="F80" s="121" t="str">
        <f aca="false">IF(E80&lt;&gt;"",IFERROR(INDEX('📋 Catálogo EPP'!$C$5:$C$24,MATCH(E80,'📋 Catálogo EPP'!$B$5:$B$24,0)),"?"),"")</f>
        <v/>
      </c>
      <c r="G80" s="123"/>
      <c r="H80" s="120"/>
      <c r="I80" s="3"/>
      <c r="J80" s="3"/>
    </row>
    <row r="81" customFormat="false" ht="19.5" hidden="false" customHeight="true" outlineLevel="0" collapsed="false">
      <c r="A81" s="115" t="n">
        <v>77</v>
      </c>
      <c r="B81" s="122"/>
      <c r="C81" s="92" t="n">
        <f aca="false">IF(B81&lt;&gt;"",YEAR(B81),0)</f>
        <v>0</v>
      </c>
      <c r="D81" s="117"/>
      <c r="E81" s="117"/>
      <c r="F81" s="57" t="str">
        <f aca="false">IF(E81&lt;&gt;"",IFERROR(INDEX('📋 Catálogo EPP'!$C$5:$C$24,MATCH(E81,'📋 Catálogo EPP'!$B$5:$B$24,0)),"?"),"")</f>
        <v/>
      </c>
      <c r="G81" s="122"/>
      <c r="H81" s="117"/>
      <c r="I81" s="3"/>
      <c r="J81" s="3"/>
    </row>
    <row r="82" customFormat="false" ht="19.5" hidden="false" customHeight="true" outlineLevel="0" collapsed="false">
      <c r="A82" s="118" t="n">
        <v>78</v>
      </c>
      <c r="B82" s="123"/>
      <c r="C82" s="96" t="n">
        <f aca="false">IF(B82&lt;&gt;"",YEAR(B82),0)</f>
        <v>0</v>
      </c>
      <c r="D82" s="120"/>
      <c r="E82" s="120"/>
      <c r="F82" s="121" t="str">
        <f aca="false">IF(E82&lt;&gt;"",IFERROR(INDEX('📋 Catálogo EPP'!$C$5:$C$24,MATCH(E82,'📋 Catálogo EPP'!$B$5:$B$24,0)),"?"),"")</f>
        <v/>
      </c>
      <c r="G82" s="123"/>
      <c r="H82" s="120"/>
      <c r="I82" s="3"/>
      <c r="J82" s="3"/>
    </row>
    <row r="83" customFormat="false" ht="19.5" hidden="false" customHeight="true" outlineLevel="0" collapsed="false">
      <c r="A83" s="115" t="n">
        <v>79</v>
      </c>
      <c r="B83" s="122"/>
      <c r="C83" s="92" t="n">
        <f aca="false">IF(B83&lt;&gt;"",YEAR(B83),0)</f>
        <v>0</v>
      </c>
      <c r="D83" s="117"/>
      <c r="E83" s="117"/>
      <c r="F83" s="57" t="str">
        <f aca="false">IF(E83&lt;&gt;"",IFERROR(INDEX('📋 Catálogo EPP'!$C$5:$C$24,MATCH(E83,'📋 Catálogo EPP'!$B$5:$B$24,0)),"?"),"")</f>
        <v/>
      </c>
      <c r="G83" s="122"/>
      <c r="H83" s="117"/>
      <c r="I83" s="3"/>
      <c r="J83" s="3"/>
    </row>
    <row r="84" customFormat="false" ht="19.5" hidden="false" customHeight="true" outlineLevel="0" collapsed="false">
      <c r="A84" s="118" t="n">
        <v>80</v>
      </c>
      <c r="B84" s="123"/>
      <c r="C84" s="96" t="n">
        <f aca="false">IF(B84&lt;&gt;"",YEAR(B84),0)</f>
        <v>0</v>
      </c>
      <c r="D84" s="120"/>
      <c r="E84" s="120"/>
      <c r="F84" s="121" t="str">
        <f aca="false">IF(E84&lt;&gt;"",IFERROR(INDEX('📋 Catálogo EPP'!$C$5:$C$24,MATCH(E84,'📋 Catálogo EPP'!$B$5:$B$24,0)),"?"),"")</f>
        <v/>
      </c>
      <c r="G84" s="123"/>
      <c r="H84" s="120"/>
      <c r="I84" s="3"/>
      <c r="J84" s="3"/>
    </row>
    <row r="85" customFormat="false" ht="19.5" hidden="false" customHeight="true" outlineLevel="0" collapsed="false">
      <c r="A85" s="115" t="n">
        <v>81</v>
      </c>
      <c r="B85" s="122"/>
      <c r="C85" s="92" t="n">
        <f aca="false">IF(B85&lt;&gt;"",YEAR(B85),0)</f>
        <v>0</v>
      </c>
      <c r="D85" s="117"/>
      <c r="E85" s="117"/>
      <c r="F85" s="57" t="str">
        <f aca="false">IF(E85&lt;&gt;"",IFERROR(INDEX('📋 Catálogo EPP'!$C$5:$C$24,MATCH(E85,'📋 Catálogo EPP'!$B$5:$B$24,0)),"?"),"")</f>
        <v/>
      </c>
      <c r="G85" s="122"/>
      <c r="H85" s="117"/>
      <c r="I85" s="3"/>
      <c r="J85" s="3"/>
    </row>
    <row r="86" customFormat="false" ht="19.5" hidden="false" customHeight="true" outlineLevel="0" collapsed="false">
      <c r="A86" s="118" t="n">
        <v>82</v>
      </c>
      <c r="B86" s="123"/>
      <c r="C86" s="96" t="n">
        <f aca="false">IF(B86&lt;&gt;"",YEAR(B86),0)</f>
        <v>0</v>
      </c>
      <c r="D86" s="120"/>
      <c r="E86" s="120"/>
      <c r="F86" s="121" t="str">
        <f aca="false">IF(E86&lt;&gt;"",IFERROR(INDEX('📋 Catálogo EPP'!$C$5:$C$24,MATCH(E86,'📋 Catálogo EPP'!$B$5:$B$24,0)),"?"),"")</f>
        <v/>
      </c>
      <c r="G86" s="123"/>
      <c r="H86" s="120"/>
      <c r="I86" s="3"/>
      <c r="J86" s="3"/>
    </row>
    <row r="87" customFormat="false" ht="19.5" hidden="false" customHeight="true" outlineLevel="0" collapsed="false">
      <c r="A87" s="115" t="n">
        <v>83</v>
      </c>
      <c r="B87" s="122"/>
      <c r="C87" s="92" t="n">
        <f aca="false">IF(B87&lt;&gt;"",YEAR(B87),0)</f>
        <v>0</v>
      </c>
      <c r="D87" s="117"/>
      <c r="E87" s="117"/>
      <c r="F87" s="57" t="str">
        <f aca="false">IF(E87&lt;&gt;"",IFERROR(INDEX('📋 Catálogo EPP'!$C$5:$C$24,MATCH(E87,'📋 Catálogo EPP'!$B$5:$B$24,0)),"?"),"")</f>
        <v/>
      </c>
      <c r="G87" s="122"/>
      <c r="H87" s="117"/>
      <c r="I87" s="3"/>
      <c r="J87" s="3"/>
    </row>
    <row r="88" customFormat="false" ht="19.5" hidden="false" customHeight="true" outlineLevel="0" collapsed="false">
      <c r="A88" s="118" t="n">
        <v>84</v>
      </c>
      <c r="B88" s="123"/>
      <c r="C88" s="96" t="n">
        <f aca="false">IF(B88&lt;&gt;"",YEAR(B88),0)</f>
        <v>0</v>
      </c>
      <c r="D88" s="120"/>
      <c r="E88" s="120"/>
      <c r="F88" s="121" t="str">
        <f aca="false">IF(E88&lt;&gt;"",IFERROR(INDEX('📋 Catálogo EPP'!$C$5:$C$24,MATCH(E88,'📋 Catálogo EPP'!$B$5:$B$24,0)),"?"),"")</f>
        <v/>
      </c>
      <c r="G88" s="123"/>
      <c r="H88" s="120"/>
      <c r="I88" s="3"/>
      <c r="J88" s="3"/>
    </row>
    <row r="89" customFormat="false" ht="19.5" hidden="false" customHeight="true" outlineLevel="0" collapsed="false">
      <c r="A89" s="115" t="n">
        <v>85</v>
      </c>
      <c r="B89" s="122"/>
      <c r="C89" s="92" t="n">
        <f aca="false">IF(B89&lt;&gt;"",YEAR(B89),0)</f>
        <v>0</v>
      </c>
      <c r="D89" s="117"/>
      <c r="E89" s="117"/>
      <c r="F89" s="57" t="str">
        <f aca="false">IF(E89&lt;&gt;"",IFERROR(INDEX('📋 Catálogo EPP'!$C$5:$C$24,MATCH(E89,'📋 Catálogo EPP'!$B$5:$B$24,0)),"?"),"")</f>
        <v/>
      </c>
      <c r="G89" s="122"/>
      <c r="H89" s="117"/>
      <c r="I89" s="3"/>
      <c r="J89" s="3"/>
    </row>
    <row r="90" customFormat="false" ht="19.5" hidden="false" customHeight="true" outlineLevel="0" collapsed="false">
      <c r="A90" s="118" t="n">
        <v>86</v>
      </c>
      <c r="B90" s="123"/>
      <c r="C90" s="96" t="n">
        <f aca="false">IF(B90&lt;&gt;"",YEAR(B90),0)</f>
        <v>0</v>
      </c>
      <c r="D90" s="120"/>
      <c r="E90" s="120"/>
      <c r="F90" s="121" t="str">
        <f aca="false">IF(E90&lt;&gt;"",IFERROR(INDEX('📋 Catálogo EPP'!$C$5:$C$24,MATCH(E90,'📋 Catálogo EPP'!$B$5:$B$24,0)),"?"),"")</f>
        <v/>
      </c>
      <c r="G90" s="123"/>
      <c r="H90" s="120"/>
      <c r="I90" s="3"/>
      <c r="J90" s="3"/>
    </row>
    <row r="91" customFormat="false" ht="19.5" hidden="false" customHeight="true" outlineLevel="0" collapsed="false">
      <c r="A91" s="115" t="n">
        <v>87</v>
      </c>
      <c r="B91" s="122"/>
      <c r="C91" s="92" t="n">
        <f aca="false">IF(B91&lt;&gt;"",YEAR(B91),0)</f>
        <v>0</v>
      </c>
      <c r="D91" s="117"/>
      <c r="E91" s="117"/>
      <c r="F91" s="57" t="str">
        <f aca="false">IF(E91&lt;&gt;"",IFERROR(INDEX('📋 Catálogo EPP'!$C$5:$C$24,MATCH(E91,'📋 Catálogo EPP'!$B$5:$B$24,0)),"?"),"")</f>
        <v/>
      </c>
      <c r="G91" s="122"/>
      <c r="H91" s="117"/>
      <c r="I91" s="3"/>
      <c r="J91" s="3"/>
    </row>
    <row r="92" customFormat="false" ht="19.5" hidden="false" customHeight="true" outlineLevel="0" collapsed="false">
      <c r="A92" s="118" t="n">
        <v>88</v>
      </c>
      <c r="B92" s="123"/>
      <c r="C92" s="96" t="n">
        <f aca="false">IF(B92&lt;&gt;"",YEAR(B92),0)</f>
        <v>0</v>
      </c>
      <c r="D92" s="120"/>
      <c r="E92" s="120"/>
      <c r="F92" s="121" t="str">
        <f aca="false">IF(E92&lt;&gt;"",IFERROR(INDEX('📋 Catálogo EPP'!$C$5:$C$24,MATCH(E92,'📋 Catálogo EPP'!$B$5:$B$24,0)),"?"),"")</f>
        <v/>
      </c>
      <c r="G92" s="123"/>
      <c r="H92" s="120"/>
      <c r="I92" s="3"/>
      <c r="J92" s="3"/>
    </row>
    <row r="93" customFormat="false" ht="19.5" hidden="false" customHeight="true" outlineLevel="0" collapsed="false">
      <c r="A93" s="115" t="n">
        <v>89</v>
      </c>
      <c r="B93" s="122"/>
      <c r="C93" s="92" t="n">
        <f aca="false">IF(B93&lt;&gt;"",YEAR(B93),0)</f>
        <v>0</v>
      </c>
      <c r="D93" s="117"/>
      <c r="E93" s="117"/>
      <c r="F93" s="57" t="str">
        <f aca="false">IF(E93&lt;&gt;"",IFERROR(INDEX('📋 Catálogo EPP'!$C$5:$C$24,MATCH(E93,'📋 Catálogo EPP'!$B$5:$B$24,0)),"?"),"")</f>
        <v/>
      </c>
      <c r="G93" s="122"/>
      <c r="H93" s="117"/>
      <c r="I93" s="3"/>
      <c r="J93" s="3"/>
    </row>
    <row r="94" customFormat="false" ht="19.5" hidden="false" customHeight="true" outlineLevel="0" collapsed="false">
      <c r="A94" s="118" t="n">
        <v>90</v>
      </c>
      <c r="B94" s="123"/>
      <c r="C94" s="96" t="n">
        <f aca="false">IF(B94&lt;&gt;"",YEAR(B94),0)</f>
        <v>0</v>
      </c>
      <c r="D94" s="120"/>
      <c r="E94" s="120"/>
      <c r="F94" s="121" t="str">
        <f aca="false">IF(E94&lt;&gt;"",IFERROR(INDEX('📋 Catálogo EPP'!$C$5:$C$24,MATCH(E94,'📋 Catálogo EPP'!$B$5:$B$24,0)),"?"),"")</f>
        <v/>
      </c>
      <c r="G94" s="123"/>
      <c r="H94" s="120"/>
      <c r="I94" s="3"/>
      <c r="J94" s="3"/>
    </row>
    <row r="95" customFormat="false" ht="19.5" hidden="false" customHeight="true" outlineLevel="0" collapsed="false">
      <c r="A95" s="115" t="n">
        <v>91</v>
      </c>
      <c r="B95" s="122"/>
      <c r="C95" s="92" t="n">
        <f aca="false">IF(B95&lt;&gt;"",YEAR(B95),0)</f>
        <v>0</v>
      </c>
      <c r="D95" s="117"/>
      <c r="E95" s="117"/>
      <c r="F95" s="57" t="str">
        <f aca="false">IF(E95&lt;&gt;"",IFERROR(INDEX('📋 Catálogo EPP'!$C$5:$C$24,MATCH(E95,'📋 Catálogo EPP'!$B$5:$B$24,0)),"?"),"")</f>
        <v/>
      </c>
      <c r="G95" s="122"/>
      <c r="H95" s="117"/>
      <c r="I95" s="3"/>
      <c r="J95" s="3"/>
    </row>
    <row r="96" customFormat="false" ht="19.5" hidden="false" customHeight="true" outlineLevel="0" collapsed="false">
      <c r="A96" s="118" t="n">
        <v>92</v>
      </c>
      <c r="B96" s="123"/>
      <c r="C96" s="96" t="n">
        <f aca="false">IF(B96&lt;&gt;"",YEAR(B96),0)</f>
        <v>0</v>
      </c>
      <c r="D96" s="120"/>
      <c r="E96" s="120"/>
      <c r="F96" s="121" t="str">
        <f aca="false">IF(E96&lt;&gt;"",IFERROR(INDEX('📋 Catálogo EPP'!$C$5:$C$24,MATCH(E96,'📋 Catálogo EPP'!$B$5:$B$24,0)),"?"),"")</f>
        <v/>
      </c>
      <c r="G96" s="123"/>
      <c r="H96" s="120"/>
      <c r="I96" s="3"/>
      <c r="J96" s="3"/>
    </row>
    <row r="97" customFormat="false" ht="19.5" hidden="false" customHeight="true" outlineLevel="0" collapsed="false">
      <c r="A97" s="115" t="n">
        <v>93</v>
      </c>
      <c r="B97" s="122"/>
      <c r="C97" s="92" t="n">
        <f aca="false">IF(B97&lt;&gt;"",YEAR(B97),0)</f>
        <v>0</v>
      </c>
      <c r="D97" s="117"/>
      <c r="E97" s="117"/>
      <c r="F97" s="57" t="str">
        <f aca="false">IF(E97&lt;&gt;"",IFERROR(INDEX('📋 Catálogo EPP'!$C$5:$C$24,MATCH(E97,'📋 Catálogo EPP'!$B$5:$B$24,0)),"?"),"")</f>
        <v/>
      </c>
      <c r="G97" s="122"/>
      <c r="H97" s="117"/>
      <c r="I97" s="3"/>
      <c r="J97" s="3"/>
    </row>
    <row r="98" customFormat="false" ht="19.5" hidden="false" customHeight="true" outlineLevel="0" collapsed="false">
      <c r="A98" s="118" t="n">
        <v>94</v>
      </c>
      <c r="B98" s="123"/>
      <c r="C98" s="96" t="n">
        <f aca="false">IF(B98&lt;&gt;"",YEAR(B98),0)</f>
        <v>0</v>
      </c>
      <c r="D98" s="120"/>
      <c r="E98" s="120"/>
      <c r="F98" s="121" t="str">
        <f aca="false">IF(E98&lt;&gt;"",IFERROR(INDEX('📋 Catálogo EPP'!$C$5:$C$24,MATCH(E98,'📋 Catálogo EPP'!$B$5:$B$24,0)),"?"),"")</f>
        <v/>
      </c>
      <c r="G98" s="123"/>
      <c r="H98" s="120"/>
      <c r="I98" s="3"/>
      <c r="J98" s="3"/>
    </row>
    <row r="99" customFormat="false" ht="19.5" hidden="false" customHeight="true" outlineLevel="0" collapsed="false">
      <c r="A99" s="115" t="n">
        <v>95</v>
      </c>
      <c r="B99" s="122"/>
      <c r="C99" s="92" t="n">
        <f aca="false">IF(B99&lt;&gt;"",YEAR(B99),0)</f>
        <v>0</v>
      </c>
      <c r="D99" s="117"/>
      <c r="E99" s="117"/>
      <c r="F99" s="57" t="str">
        <f aca="false">IF(E99&lt;&gt;"",IFERROR(INDEX('📋 Catálogo EPP'!$C$5:$C$24,MATCH(E99,'📋 Catálogo EPP'!$B$5:$B$24,0)),"?"),"")</f>
        <v/>
      </c>
      <c r="G99" s="122"/>
      <c r="H99" s="117"/>
      <c r="I99" s="3"/>
      <c r="J99" s="3"/>
    </row>
    <row r="100" customFormat="false" ht="19.5" hidden="false" customHeight="true" outlineLevel="0" collapsed="false">
      <c r="A100" s="118" t="n">
        <v>96</v>
      </c>
      <c r="B100" s="123"/>
      <c r="C100" s="96" t="n">
        <f aca="false">IF(B100&lt;&gt;"",YEAR(B100),0)</f>
        <v>0</v>
      </c>
      <c r="D100" s="120"/>
      <c r="E100" s="120"/>
      <c r="F100" s="121" t="str">
        <f aca="false">IF(E100&lt;&gt;"",IFERROR(INDEX('📋 Catálogo EPP'!$C$5:$C$24,MATCH(E100,'📋 Catálogo EPP'!$B$5:$B$24,0)),"?"),"")</f>
        <v/>
      </c>
      <c r="G100" s="123"/>
      <c r="H100" s="120"/>
      <c r="I100" s="3"/>
      <c r="J100" s="3"/>
    </row>
    <row r="101" customFormat="false" ht="19.5" hidden="false" customHeight="true" outlineLevel="0" collapsed="false">
      <c r="A101" s="115" t="n">
        <v>97</v>
      </c>
      <c r="B101" s="122"/>
      <c r="C101" s="92" t="n">
        <f aca="false">IF(B101&lt;&gt;"",YEAR(B101),0)</f>
        <v>0</v>
      </c>
      <c r="D101" s="117"/>
      <c r="E101" s="117"/>
      <c r="F101" s="57" t="str">
        <f aca="false">IF(E101&lt;&gt;"",IFERROR(INDEX('📋 Catálogo EPP'!$C$5:$C$24,MATCH(E101,'📋 Catálogo EPP'!$B$5:$B$24,0)),"?"),"")</f>
        <v/>
      </c>
      <c r="G101" s="122"/>
      <c r="H101" s="117"/>
      <c r="I101" s="3"/>
      <c r="J101" s="3"/>
    </row>
    <row r="102" customFormat="false" ht="19.5" hidden="false" customHeight="true" outlineLevel="0" collapsed="false">
      <c r="A102" s="118" t="n">
        <v>98</v>
      </c>
      <c r="B102" s="123"/>
      <c r="C102" s="96" t="n">
        <f aca="false">IF(B102&lt;&gt;"",YEAR(B102),0)</f>
        <v>0</v>
      </c>
      <c r="D102" s="120"/>
      <c r="E102" s="120"/>
      <c r="F102" s="121" t="str">
        <f aca="false">IF(E102&lt;&gt;"",IFERROR(INDEX('📋 Catálogo EPP'!$C$5:$C$24,MATCH(E102,'📋 Catálogo EPP'!$B$5:$B$24,0)),"?"),"")</f>
        <v/>
      </c>
      <c r="G102" s="123"/>
      <c r="H102" s="120"/>
      <c r="I102" s="3"/>
      <c r="J102" s="3"/>
    </row>
    <row r="103" customFormat="false" ht="19.5" hidden="false" customHeight="true" outlineLevel="0" collapsed="false">
      <c r="A103" s="115" t="n">
        <v>99</v>
      </c>
      <c r="B103" s="122"/>
      <c r="C103" s="92" t="n">
        <f aca="false">IF(B103&lt;&gt;"",YEAR(B103),0)</f>
        <v>0</v>
      </c>
      <c r="D103" s="117"/>
      <c r="E103" s="117"/>
      <c r="F103" s="57" t="str">
        <f aca="false">IF(E103&lt;&gt;"",IFERROR(INDEX('📋 Catálogo EPP'!$C$5:$C$24,MATCH(E103,'📋 Catálogo EPP'!$B$5:$B$24,0)),"?"),"")</f>
        <v/>
      </c>
      <c r="G103" s="122"/>
      <c r="H103" s="117"/>
      <c r="I103" s="3"/>
      <c r="J103" s="3"/>
    </row>
    <row r="104" customFormat="false" ht="19.5" hidden="false" customHeight="true" outlineLevel="0" collapsed="false">
      <c r="A104" s="118" t="n">
        <v>100</v>
      </c>
      <c r="B104" s="123"/>
      <c r="C104" s="96" t="n">
        <f aca="false">IF(B104&lt;&gt;"",YEAR(B104),0)</f>
        <v>0</v>
      </c>
      <c r="D104" s="120"/>
      <c r="E104" s="120"/>
      <c r="F104" s="121" t="str">
        <f aca="false">IF(E104&lt;&gt;"",IFERROR(INDEX('📋 Catálogo EPP'!$C$5:$C$24,MATCH(E104,'📋 Catálogo EPP'!$B$5:$B$24,0)),"?"),"")</f>
        <v/>
      </c>
      <c r="G104" s="123"/>
      <c r="H104" s="120"/>
      <c r="I104" s="3"/>
      <c r="J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customFormat="false" ht="1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customFormat="false" ht="1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customFormat="false" ht="1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customFormat="false" ht="1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customFormat="false" ht="1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customFormat="false" ht="1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customFormat="false" ht="1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customFormat="false" ht="1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customFormat="false" ht="1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customFormat="false" ht="1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customFormat="false" ht="1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customFormat="false" ht="1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customFormat="false" ht="1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customFormat="false" ht="1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customFormat="false" ht="1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customFormat="false" ht="1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customFormat="false" ht="1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customFormat="false" ht="1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customFormat="false" ht="1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customFormat="false" ht="1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customFormat="false" ht="1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customFormat="false" ht="1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customFormat="false" ht="1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customFormat="false" ht="1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customFormat="false" ht="1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customFormat="false" ht="1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customFormat="false" ht="1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customFormat="false" ht="1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customFormat="false" ht="1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customFormat="false" ht="1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customFormat="false" ht="1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customFormat="false" ht="1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customFormat="false" ht="1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customFormat="false" ht="1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customFormat="false" ht="1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customFormat="false" ht="1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customFormat="false" ht="1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customFormat="false" ht="1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customFormat="false" ht="1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customFormat="false" ht="1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customFormat="false" ht="1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customFormat="false" ht="1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customFormat="false" ht="1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customFormat="false" ht="1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customFormat="false" ht="1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customFormat="false" ht="1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D5:D104" type="list">
      <formula1>'👷 Trabajadores'!$B$5:$B$14</formula1>
      <formula2>0</formula2>
    </dataValidation>
    <dataValidation allowBlank="true" errorStyle="stop" operator="between" showDropDown="false" showErrorMessage="false" showInputMessage="false" sqref="E5:E104" type="list">
      <formula1>'📋 Catálogo EPP'!$B$5:$B$24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55"/>
  </cols>
  <sheetData>
    <row r="1" customFormat="false" ht="37.5" hidden="false" customHeight="true" outlineLevel="0" collapsed="false">
      <c r="A1" s="124" t="s">
        <v>116</v>
      </c>
      <c r="B1" s="124"/>
      <c r="C1" s="124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36" hidden="false" customHeight="true" outlineLevel="0" collapsed="false">
      <c r="A3" s="125" t="s">
        <v>117</v>
      </c>
      <c r="B3" s="126" t="s">
        <v>118</v>
      </c>
      <c r="C3" s="127" t="s">
        <v>119</v>
      </c>
      <c r="D3" s="3"/>
      <c r="E3" s="3"/>
      <c r="F3" s="3"/>
      <c r="G3" s="3"/>
      <c r="H3" s="3"/>
      <c r="I3" s="3"/>
      <c r="J3" s="3"/>
    </row>
    <row r="4" customFormat="false" ht="48" hidden="false" customHeight="true" outlineLevel="0" collapsed="false">
      <c r="A4" s="125" t="s">
        <v>120</v>
      </c>
      <c r="B4" s="126" t="s">
        <v>121</v>
      </c>
      <c r="C4" s="128" t="s">
        <v>122</v>
      </c>
      <c r="D4" s="3"/>
      <c r="E4" s="3"/>
      <c r="F4" s="3"/>
      <c r="G4" s="3"/>
      <c r="H4" s="3"/>
      <c r="I4" s="3"/>
      <c r="J4" s="3"/>
    </row>
    <row r="5" customFormat="false" ht="48" hidden="false" customHeight="true" outlineLevel="0" collapsed="false">
      <c r="A5" s="125" t="s">
        <v>123</v>
      </c>
      <c r="B5" s="126" t="s">
        <v>124</v>
      </c>
      <c r="C5" s="127" t="s">
        <v>125</v>
      </c>
      <c r="D5" s="3"/>
      <c r="E5" s="3"/>
      <c r="F5" s="3"/>
      <c r="G5" s="3"/>
      <c r="H5" s="3"/>
      <c r="I5" s="3"/>
      <c r="J5" s="3"/>
    </row>
    <row r="6" customFormat="false" ht="48" hidden="false" customHeight="true" outlineLevel="0" collapsed="false">
      <c r="A6" s="125" t="s">
        <v>126</v>
      </c>
      <c r="B6" s="126" t="s">
        <v>127</v>
      </c>
      <c r="C6" s="128" t="s">
        <v>128</v>
      </c>
      <c r="D6" s="3"/>
      <c r="E6" s="3"/>
      <c r="F6" s="3"/>
      <c r="G6" s="3"/>
      <c r="H6" s="3"/>
      <c r="I6" s="3"/>
      <c r="J6" s="3"/>
    </row>
    <row r="7" customFormat="false" ht="48" hidden="false" customHeight="true" outlineLevel="0" collapsed="false">
      <c r="A7" s="125" t="s">
        <v>129</v>
      </c>
      <c r="B7" s="126" t="s">
        <v>130</v>
      </c>
      <c r="C7" s="127" t="s">
        <v>131</v>
      </c>
      <c r="D7" s="3"/>
      <c r="E7" s="3"/>
      <c r="F7" s="3"/>
      <c r="G7" s="3"/>
      <c r="H7" s="3"/>
      <c r="I7" s="3"/>
      <c r="J7" s="3"/>
    </row>
    <row r="8" customFormat="false" ht="48" hidden="false" customHeight="true" outlineLevel="0" collapsed="false">
      <c r="A8" s="125" t="s">
        <v>129</v>
      </c>
      <c r="B8" s="126" t="s">
        <v>132</v>
      </c>
      <c r="C8" s="128" t="s">
        <v>133</v>
      </c>
      <c r="D8" s="3"/>
      <c r="E8" s="3"/>
      <c r="F8" s="3"/>
      <c r="G8" s="3"/>
      <c r="H8" s="3"/>
      <c r="I8" s="3"/>
      <c r="J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2026-03-06T17:36:57Z</dcterms:created>
  <dc:creator>openpyxl</dc:creator>
  <dc:description/>
  <dc:language>en-US</dc:language>
  <cp:lastModifiedBy/>
  <dcterms:modified xsi:type="dcterms:W3CDTF">2026-03-06T19:57:57Z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